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7db7a20a25399f2/Documentos/GitHub/Sistema-Financeiro/"/>
    </mc:Choice>
  </mc:AlternateContent>
  <xr:revisionPtr revIDLastSave="4960" documentId="14_{3F5B1ED0-361D-4669-86B1-5E3CF7A15105}" xr6:coauthVersionLast="47" xr6:coauthVersionMax="47" xr10:uidLastSave="{E7C49ED9-28A3-4FEA-A63E-1ABA3A8C4C6A}"/>
  <bookViews>
    <workbookView xWindow="-120" yWindow="-120" windowWidth="38640" windowHeight="15720" xr2:uid="{6B925A7E-5A44-45D4-A420-04E01BE94795}"/>
  </bookViews>
  <sheets>
    <sheet name="Dashboards" sheetId="2" r:id="rId1"/>
    <sheet name="Banco de Dados" sheetId="1" r:id="rId2"/>
    <sheet name="ago 2023" sheetId="19" r:id="rId3"/>
  </sheets>
  <definedNames>
    <definedName name="SALDO">'ago 2023'!$Y$5</definedName>
    <definedName name="tabContas">#REF!</definedName>
    <definedName name="teste">'Banco de Dados'!$A:$A</definedName>
  </definedNames>
  <calcPr calcId="191029" refMode="R1C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1" l="1"/>
  <c r="A7" i="2" l="1"/>
  <c r="AA8" i="19"/>
  <c r="AA9" i="19"/>
  <c r="AA10" i="19"/>
  <c r="AA11" i="19"/>
  <c r="AA12" i="19"/>
  <c r="AA13" i="19"/>
  <c r="AA14" i="19"/>
  <c r="AA15" i="19"/>
  <c r="AA16" i="19"/>
  <c r="AA17" i="19"/>
  <c r="AA18" i="19"/>
  <c r="AA19" i="19"/>
  <c r="AA20" i="19"/>
  <c r="Y4" i="19"/>
  <c r="Y3" i="19"/>
  <c r="Y5" i="19" l="1"/>
</calcChain>
</file>

<file path=xl/sharedStrings.xml><?xml version="1.0" encoding="utf-8"?>
<sst xmlns="http://schemas.openxmlformats.org/spreadsheetml/2006/main" count="119" uniqueCount="68">
  <si>
    <t>Receitas</t>
  </si>
  <si>
    <t>Descrição</t>
  </si>
  <si>
    <t>Tipo</t>
  </si>
  <si>
    <t>Valor</t>
  </si>
  <si>
    <t>Data</t>
  </si>
  <si>
    <t>Categoria</t>
  </si>
  <si>
    <t>Despesa Fixa</t>
  </si>
  <si>
    <t>Despesa Variável</t>
  </si>
  <si>
    <t>Tipo despesas</t>
  </si>
  <si>
    <t>Tipo Receitas</t>
  </si>
  <si>
    <t>Salário</t>
  </si>
  <si>
    <t>Bônus</t>
  </si>
  <si>
    <t>Freela</t>
  </si>
  <si>
    <t>Dividendos</t>
  </si>
  <si>
    <t>Categoria despesas</t>
  </si>
  <si>
    <t>Mercado</t>
  </si>
  <si>
    <t>Restaurante</t>
  </si>
  <si>
    <t>Lazer</t>
  </si>
  <si>
    <t>Roupas</t>
  </si>
  <si>
    <t>Estudos</t>
  </si>
  <si>
    <t>Outros</t>
  </si>
  <si>
    <t>Transporte</t>
  </si>
  <si>
    <t>Carro</t>
  </si>
  <si>
    <t>Pessoal Nathi</t>
  </si>
  <si>
    <t>Pessoal Dé</t>
  </si>
  <si>
    <t>Saúde Física &amp; Mental</t>
  </si>
  <si>
    <t>Farmácia</t>
  </si>
  <si>
    <t>Despesas</t>
  </si>
  <si>
    <t>Transferências</t>
  </si>
  <si>
    <t>Origem</t>
  </si>
  <si>
    <t>Destino</t>
  </si>
  <si>
    <t>Conta</t>
  </si>
  <si>
    <t>C. Crédito BB Nathi</t>
  </si>
  <si>
    <t>BB André</t>
  </si>
  <si>
    <t>BB Nath</t>
  </si>
  <si>
    <t>Nubank</t>
  </si>
  <si>
    <t>Inter André</t>
  </si>
  <si>
    <t>Inter Nath</t>
  </si>
  <si>
    <t>C. Crédito Inter Nathi</t>
  </si>
  <si>
    <t>Mercado Pago</t>
  </si>
  <si>
    <t>Good Card</t>
  </si>
  <si>
    <t>VR</t>
  </si>
  <si>
    <t>Sofisa</t>
  </si>
  <si>
    <t>99 Pay</t>
  </si>
  <si>
    <t>Dinheiro</t>
  </si>
  <si>
    <t>Banco</t>
  </si>
  <si>
    <t>Dia</t>
  </si>
  <si>
    <t>Receita Fixa</t>
  </si>
  <si>
    <t>Receita Variável</t>
  </si>
  <si>
    <t>TOTAIS</t>
  </si>
  <si>
    <t>RECEITAS</t>
  </si>
  <si>
    <t>DESPESAS</t>
  </si>
  <si>
    <t>Nome</t>
  </si>
  <si>
    <t>entrada</t>
  </si>
  <si>
    <t>saída</t>
  </si>
  <si>
    <t>saldo</t>
  </si>
  <si>
    <t>Gastos por categoria</t>
  </si>
  <si>
    <t>Datas</t>
  </si>
  <si>
    <t>Categoria receitas</t>
  </si>
  <si>
    <t>ago</t>
  </si>
  <si>
    <t>SALDO DE HOJE</t>
  </si>
  <si>
    <t>saldo julho</t>
  </si>
  <si>
    <t>Saldo</t>
  </si>
  <si>
    <t>padaria</t>
  </si>
  <si>
    <t>cfc aula nath</t>
  </si>
  <si>
    <t>pix dé - nath</t>
  </si>
  <si>
    <t>ifood kfc</t>
  </si>
  <si>
    <t>Valores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</si>
</sst>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[$-F800]dddd\,\ mmmm\ dd\,\ yy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indexed="64"/>
      </right>
      <top/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/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44" fontId="0" fillId="0" borderId="0" xfId="1" applyFont="1"/>
    <xf numFmtId="0" fontId="2" fillId="0" borderId="0" xfId="0" applyFont="1" applyAlignment="1">
      <alignment vertical="center"/>
    </xf>
    <xf numFmtId="0" fontId="3" fillId="0" borderId="0" xfId="2"/>
    <xf numFmtId="164" fontId="0" fillId="0" borderId="0" xfId="0" applyNumberFormat="1"/>
    <xf numFmtId="0" fontId="4" fillId="0" borderId="0" xfId="0" applyFont="1"/>
    <xf numFmtId="44" fontId="0" fillId="0" borderId="0" xfId="0" applyNumberFormat="1"/>
    <xf numFmtId="14" fontId="0" fillId="0" borderId="0" xfId="0" applyNumberFormat="1"/>
    <xf numFmtId="7" fontId="0" fillId="0" borderId="0" xfId="0" applyNumberFormat="1"/>
    <xf numFmtId="0" fontId="7" fillId="3" borderId="2" xfId="0" applyFont="1" applyFill="1" applyBorder="1"/>
    <xf numFmtId="0" fontId="7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8" fillId="2" borderId="1" xfId="0" applyFont="1" applyFill="1" applyBorder="1"/>
    <xf numFmtId="44" fontId="0" fillId="0" borderId="8" xfId="1" applyFont="1" applyBorder="1"/>
    <xf numFmtId="0" fontId="8" fillId="0" borderId="1" xfId="0" applyFont="1" applyBorder="1"/>
    <xf numFmtId="0" fontId="8" fillId="0" borderId="5" xfId="0" applyFont="1" applyBorder="1"/>
    <xf numFmtId="0" fontId="8" fillId="2" borderId="6" xfId="0" applyFont="1" applyFill="1" applyBorder="1"/>
    <xf numFmtId="44" fontId="0" fillId="0" borderId="7" xfId="1" applyFont="1" applyBorder="1" applyAlignment="1">
      <alignment horizontal="right" vertical="center"/>
    </xf>
    <xf numFmtId="7" fontId="0" fillId="0" borderId="7" xfId="1" applyNumberFormat="1" applyFont="1" applyBorder="1" applyAlignment="1">
      <alignment horizontal="right" vertical="center"/>
    </xf>
    <xf numFmtId="49" fontId="0" fillId="0" borderId="0" xfId="0" applyNumberFormat="1"/>
    <xf numFmtId="0" fontId="6" fillId="0" borderId="0" xfId="0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7" fontId="5" fillId="0" borderId="0" xfId="0" applyNumberFormat="1" applyFont="1" applyAlignment="1">
      <alignment horizontal="center" vertical="center"/>
    </xf>
  </cellXfs>
  <cellStyles count="3">
    <cellStyle name="Hiperlink" xfId="2" builtinId="8"/>
    <cellStyle name="Moeda" xfId="1" builtinId="4"/>
    <cellStyle name="Normal" xfId="0" builtinId="0"/>
  </cellStyles>
  <dxfs count="21">
    <dxf>
      <numFmt numFmtId="34" formatCode="_-&quot;R$&quot;\ * #,##0.00_-;\-&quot;R$&quot;\ * #,##0.00_-;_-&quot;R$&quot;\ * &quot;-&quot;??_-;_-@_-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border diagonalUp="0" diagonalDown="0" outline="0">
        <left/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border outline="0">
        <top style="medium">
          <color indexed="64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19" formatCode="dd/mm/yyyy"/>
    </dxf>
    <dxf>
      <numFmt numFmtId="19" formatCode="dd/mm/yyyy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Gastos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'ago 2023'!$V$1</c:f>
              <c:strCache>
                <c:ptCount val="1"/>
                <c:pt idx="0">
                  <c:v>Valores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EB9-4A74-98E0-9A0C6FB0D5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B9-4A74-98E0-9A0C6FB0D5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EB9-4A74-98E0-9A0C6FB0D58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EB9-4A74-98E0-9A0C6FB0D58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EB9-4A74-98E0-9A0C6FB0D58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EB9-4A74-98E0-9A0C6FB0D58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EB9-4A74-98E0-9A0C6FB0D58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EB9-4A74-98E0-9A0C6FB0D58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EB9-4A74-98E0-9A0C6FB0D58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EB9-4A74-98E0-9A0C6FB0D58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EB9-4A74-98E0-9A0C6FB0D58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EB9-4A74-98E0-9A0C6FB0D587}"/>
              </c:ext>
            </c:extLst>
          </c:dPt>
          <c:cat>
            <c:strRef>
              <c:f>'ago 2023'!$U$2:$U$13</c:f>
              <c:strCache>
                <c:ptCount val="12"/>
                <c:pt idx="0">
                  <c:v>Carro</c:v>
                </c:pt>
                <c:pt idx="1">
                  <c:v>Estudos</c:v>
                </c:pt>
                <c:pt idx="2">
                  <c:v>Lazer</c:v>
                </c:pt>
                <c:pt idx="3">
                  <c:v>Mercado</c:v>
                </c:pt>
                <c:pt idx="4">
                  <c:v>Outros</c:v>
                </c:pt>
                <c:pt idx="5">
                  <c:v>Pessoal Dé</c:v>
                </c:pt>
                <c:pt idx="6">
                  <c:v>Pessoal Nathi</c:v>
                </c:pt>
                <c:pt idx="7">
                  <c:v>Restaurante</c:v>
                </c:pt>
                <c:pt idx="8">
                  <c:v>Roupas</c:v>
                </c:pt>
                <c:pt idx="9">
                  <c:v>Farmácia</c:v>
                </c:pt>
                <c:pt idx="10">
                  <c:v>Saúde Física &amp; Mental</c:v>
                </c:pt>
                <c:pt idx="11">
                  <c:v>Transporte</c:v>
                </c:pt>
              </c:strCache>
            </c:strRef>
          </c:cat>
          <c:val>
            <c:numRef>
              <c:f>'ago 2023'!$V$2:$V$13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77.28</c:v>
                </c:pt>
                <c:pt idx="5">
                  <c:v>0</c:v>
                </c:pt>
                <c:pt idx="6">
                  <c:v>0</c:v>
                </c:pt>
                <c:pt idx="7">
                  <c:v>35.17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3B-45FD-AB8E-3694D306D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Entradas por conta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'ago 2023'!$Y$7</c:f>
              <c:strCache>
                <c:ptCount val="1"/>
                <c:pt idx="0">
                  <c:v>entrada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9F-4115-B99C-880BA194B23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9F-4115-B99C-880BA194B23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39F-4115-B99C-880BA194B23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39F-4115-B99C-880BA194B23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39F-4115-B99C-880BA194B23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39F-4115-B99C-880BA194B23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39F-4115-B99C-880BA194B23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39F-4115-B99C-880BA194B23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39F-4115-B99C-880BA194B232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39F-4115-B99C-880BA194B23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39F-4115-B99C-880BA194B23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39F-4115-B99C-880BA194B232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39F-4115-B99C-880BA194B232}"/>
              </c:ext>
            </c:extLst>
          </c:dPt>
          <c:cat>
            <c:strRef>
              <c:f>'ago 2023'!$X$8:$X$20</c:f>
              <c:strCache>
                <c:ptCount val="13"/>
                <c:pt idx="0">
                  <c:v>99 Pay</c:v>
                </c:pt>
                <c:pt idx="1">
                  <c:v>BB André</c:v>
                </c:pt>
                <c:pt idx="2">
                  <c:v>BB Nath</c:v>
                </c:pt>
                <c:pt idx="3">
                  <c:v>C. Crédito BB Nathi</c:v>
                </c:pt>
                <c:pt idx="4">
                  <c:v>C. Crédito Inter Nathi</c:v>
                </c:pt>
                <c:pt idx="5">
                  <c:v>Dinheiro</c:v>
                </c:pt>
                <c:pt idx="6">
                  <c:v>Good Card</c:v>
                </c:pt>
                <c:pt idx="7">
                  <c:v>Inter André</c:v>
                </c:pt>
                <c:pt idx="8">
                  <c:v>Inter Nath</c:v>
                </c:pt>
                <c:pt idx="9">
                  <c:v>Mercado Pago</c:v>
                </c:pt>
                <c:pt idx="10">
                  <c:v>Nubank</c:v>
                </c:pt>
                <c:pt idx="11">
                  <c:v>Sofisa</c:v>
                </c:pt>
                <c:pt idx="12">
                  <c:v>VR</c:v>
                </c:pt>
              </c:strCache>
            </c:strRef>
          </c:cat>
          <c:val>
            <c:numRef>
              <c:f>'ago 2023'!$Y$8:$Y$20</c:f>
              <c:numCache>
                <c:formatCode>"R$"#,##0.00_);\("R$"#,##0.00\)</c:formatCode>
                <c:ptCount val="13"/>
                <c:pt idx="0" formatCode="_(&quot;R$&quot;* #,##0.00_);_(&quot;R$&quot;* \(#,##0.00\);_(&quot;R$&quot;* &quot;-&quot;??_);_(@_)">
                  <c:v>0</c:v>
                </c:pt>
                <c:pt idx="1">
                  <c:v>304.33999999999997</c:v>
                </c:pt>
                <c:pt idx="2">
                  <c:v>103.7</c:v>
                </c:pt>
                <c:pt idx="3" formatCode="_(&quot;R$&quot;* #,##0.00_);_(&quot;R$&quot;* \(#,##0.00\);_(&quot;R$&quot;* &quot;-&quot;??_);_(@_)">
                  <c:v>0</c:v>
                </c:pt>
                <c:pt idx="4" formatCode="_(&quot;R$&quot;* #,##0.00_);_(&quot;R$&quot;* \(#,##0.00\);_(&quot;R$&quot;* &quot;-&quot;??_);_(@_)">
                  <c:v>0</c:v>
                </c:pt>
                <c:pt idx="5" formatCode="_(&quot;R$&quot;* #,##0.00_);_(&quot;R$&quot;* \(#,##0.00\);_(&quot;R$&quot;* &quot;-&quot;??_);_(@_)">
                  <c:v>0</c:v>
                </c:pt>
                <c:pt idx="6" formatCode="_(&quot;R$&quot;* #,##0.00_);_(&quot;R$&quot;* \(#,##0.00\);_(&quot;R$&quot;* &quot;-&quot;??_);_(@_)">
                  <c:v>0</c:v>
                </c:pt>
                <c:pt idx="7" formatCode="_(&quot;R$&quot;* #,##0.00_);_(&quot;R$&quot;* \(#,##0.00\);_(&quot;R$&quot;* &quot;-&quot;??_);_(@_)">
                  <c:v>0</c:v>
                </c:pt>
                <c:pt idx="8" formatCode="_(&quot;R$&quot;* #,##0.00_);_(&quot;R$&quot;* \(#,##0.00\);_(&quot;R$&quot;* &quot;-&quot;??_);_(@_)">
                  <c:v>0</c:v>
                </c:pt>
                <c:pt idx="9" formatCode="_(&quot;R$&quot;* #,##0.00_);_(&quot;R$&quot;* \(#,##0.00\);_(&quot;R$&quot;* &quot;-&quot;??_);_(@_)">
                  <c:v>0</c:v>
                </c:pt>
                <c:pt idx="10" formatCode="_(&quot;R$&quot;* #,##0.00_);_(&quot;R$&quot;* \(#,##0.00\);_(&quot;R$&quot;* &quot;-&quot;??_);_(@_)">
                  <c:v>0</c:v>
                </c:pt>
                <c:pt idx="11" formatCode="_(&quot;R$&quot;* #,##0.00_);_(&quot;R$&quot;* \(#,##0.00\);_(&quot;R$&quot;* &quot;-&quot;??_);_(@_)">
                  <c:v>0</c:v>
                </c:pt>
                <c:pt idx="12" formatCode="_(&quot;R$&quot;* #,##0.00_);_(&quot;R$&quot;* \(#,##0.00\);_(&quot;R$&quot;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3B-45FD-AB8E-3694D306D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34300752"/>
        <c:axId val="206840876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'ago 2023'!$Z$7</c15:sqref>
                        </c15:formulaRef>
                      </c:ext>
                    </c:extLst>
                    <c:strCache>
                      <c:ptCount val="1"/>
                      <c:pt idx="0">
                        <c:v>saída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 w="19050">
                    <a:solidFill>
                      <a:schemeClr val="lt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'ago 2023'!$X$8:$X$20</c15:sqref>
                        </c15:formulaRef>
                      </c:ext>
                    </c:extLst>
                    <c:strCache>
                      <c:ptCount val="13"/>
                      <c:pt idx="0">
                        <c:v>99 Pay</c:v>
                      </c:pt>
                      <c:pt idx="1">
                        <c:v>BB André</c:v>
                      </c:pt>
                      <c:pt idx="2">
                        <c:v>BB Nath</c:v>
                      </c:pt>
                      <c:pt idx="3">
                        <c:v>C. Crédito BB Nathi</c:v>
                      </c:pt>
                      <c:pt idx="4">
                        <c:v>C. Crédito Inter Nathi</c:v>
                      </c:pt>
                      <c:pt idx="5">
                        <c:v>Dinheiro</c:v>
                      </c:pt>
                      <c:pt idx="6">
                        <c:v>Good Card</c:v>
                      </c:pt>
                      <c:pt idx="7">
                        <c:v>Inter André</c:v>
                      </c:pt>
                      <c:pt idx="8">
                        <c:v>Inter Nath</c:v>
                      </c:pt>
                      <c:pt idx="9">
                        <c:v>Mercado Pago</c:v>
                      </c:pt>
                      <c:pt idx="10">
                        <c:v>Nubank</c:v>
                      </c:pt>
                      <c:pt idx="11">
                        <c:v>Sofisa</c:v>
                      </c:pt>
                      <c:pt idx="12">
                        <c:v>VR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'ago 2023'!$Z$8:$Z$20</c15:sqref>
                        </c15:formulaRef>
                      </c:ext>
                    </c:extLst>
                    <c:numCache>
                      <c:formatCode>"R$"#,##0.00_);\("R$"#,##0.00\)</c:formatCode>
                      <c:ptCount val="13"/>
                      <c:pt idx="0" formatCode="_(&quot;R$&quot;* #,##0.00_);_(&quot;R$&quot;* \(#,##0.00\);_(&quot;R$&quot;* &quot;-&quot;??_);_(@_)">
                        <c:v>0</c:v>
                      </c:pt>
                      <c:pt idx="1">
                        <c:v>185.28</c:v>
                      </c:pt>
                      <c:pt idx="2">
                        <c:v>27.17</c:v>
                      </c:pt>
                      <c:pt idx="3" formatCode="_(&quot;R$&quot;* #,##0.00_);_(&quot;R$&quot;* \(#,##0.00\);_(&quot;R$&quot;* &quot;-&quot;??_);_(@_)">
                        <c:v>0</c:v>
                      </c:pt>
                      <c:pt idx="4" formatCode="_(&quot;R$&quot;* #,##0.00_);_(&quot;R$&quot;* \(#,##0.00\);_(&quot;R$&quot;* &quot;-&quot;??_);_(@_)">
                        <c:v>0</c:v>
                      </c:pt>
                      <c:pt idx="5" formatCode="_(&quot;R$&quot;* #,##0.00_);_(&quot;R$&quot;* \(#,##0.00\);_(&quot;R$&quot;* &quot;-&quot;??_);_(@_)">
                        <c:v>0</c:v>
                      </c:pt>
                      <c:pt idx="6">
                        <c:v>0</c:v>
                      </c:pt>
                      <c:pt idx="7" formatCode="_(&quot;R$&quot;* #,##0.00_);_(&quot;R$&quot;* \(#,##0.00\);_(&quot;R$&quot;* &quot;-&quot;??_);_(@_)">
                        <c:v>0</c:v>
                      </c:pt>
                      <c:pt idx="8" formatCode="_(&quot;R$&quot;* #,##0.00_);_(&quot;R$&quot;* \(#,##0.00\);_(&quot;R$&quot;* &quot;-&quot;??_);_(@_)">
                        <c:v>0</c:v>
                      </c:pt>
                      <c:pt idx="9" formatCode="_(&quot;R$&quot;* #,##0.00_);_(&quot;R$&quot;* \(#,##0.00\);_(&quot;R$&quot;* &quot;-&quot;??_);_(@_)">
                        <c:v>0</c:v>
                      </c:pt>
                      <c:pt idx="10" formatCode="_(&quot;R$&quot;* #,##0.00_);_(&quot;R$&quot;* \(#,##0.00\);_(&quot;R$&quot;* &quot;-&quot;??_);_(@_)">
                        <c:v>0</c:v>
                      </c:pt>
                      <c:pt idx="11" formatCode="_(&quot;R$&quot;* #,##0.00_);_(&quot;R$&quot;* \(#,##0.00\);_(&quot;R$&quot;* &quot;-&quot;??_);_(@_)">
                        <c:v>0</c:v>
                      </c:pt>
                      <c:pt idx="12" formatCode="_(&quot;R$&quot;* #,##0.00_);_(&quot;R$&quot;* \(#,##0.00\);_(&quot;R$&quot;* &quot;-&quot;??_);_(@_)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54-139F-4115-B99C-880BA194B23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'ago 2023'!$AA$7</c15:sqref>
                        </c15:formulaRef>
                      </c:ext>
                    </c:extLst>
                    <c:strCache>
                      <c:ptCount val="1"/>
                      <c:pt idx="0">
                        <c:v>saldo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 w="19050">
                    <a:solidFill>
                      <a:schemeClr val="lt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'ago 2023'!$X$8:$X$20</c15:sqref>
                        </c15:formulaRef>
                      </c:ext>
                    </c:extLst>
                    <c:strCache>
                      <c:ptCount val="13"/>
                      <c:pt idx="0">
                        <c:v>99 Pay</c:v>
                      </c:pt>
                      <c:pt idx="1">
                        <c:v>BB André</c:v>
                      </c:pt>
                      <c:pt idx="2">
                        <c:v>BB Nath</c:v>
                      </c:pt>
                      <c:pt idx="3">
                        <c:v>C. Crédito BB Nathi</c:v>
                      </c:pt>
                      <c:pt idx="4">
                        <c:v>C. Crédito Inter Nathi</c:v>
                      </c:pt>
                      <c:pt idx="5">
                        <c:v>Dinheiro</c:v>
                      </c:pt>
                      <c:pt idx="6">
                        <c:v>Good Card</c:v>
                      </c:pt>
                      <c:pt idx="7">
                        <c:v>Inter André</c:v>
                      </c:pt>
                      <c:pt idx="8">
                        <c:v>Inter Nath</c:v>
                      </c:pt>
                      <c:pt idx="9">
                        <c:v>Mercado Pago</c:v>
                      </c:pt>
                      <c:pt idx="10">
                        <c:v>Nubank</c:v>
                      </c:pt>
                      <c:pt idx="11">
                        <c:v>Sofisa</c:v>
                      </c:pt>
                      <c:pt idx="12">
                        <c:v>VR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'ago 2023'!$AA$8:$AA$20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13"/>
                      <c:pt idx="0">
                        <c:v>0</c:v>
                      </c:pt>
                      <c:pt idx="1">
                        <c:v>119.05999999999997</c:v>
                      </c:pt>
                      <c:pt idx="2">
                        <c:v>76.53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139F-4115-B99C-880BA194B232}"/>
                  </c:ext>
                </c:extLst>
              </c15:ser>
            </c15:filteredBarSeries>
          </c:ext>
        </c:extLst>
      </c:barChart>
      <c:catAx>
        <c:axId val="193430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68408768"/>
        <c:crosses val="autoZero"/>
        <c:auto val="1"/>
        <c:lblAlgn val="ctr"/>
        <c:lblOffset val="100"/>
        <c:noMultiLvlLbl val="0"/>
      </c:catAx>
      <c:valAx>
        <c:axId val="20684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430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Saídas por conta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'ago 2023'!$Z$7</c:f>
              <c:strCache>
                <c:ptCount val="1"/>
                <c:pt idx="0">
                  <c:v>saída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39F-4115-B99C-880BA194B23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139F-4115-B99C-880BA194B23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139F-4115-B99C-880BA194B23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139F-4115-B99C-880BA194B23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139F-4115-B99C-880BA194B23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139F-4115-B99C-880BA194B23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139F-4115-B99C-880BA194B23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139F-4115-B99C-880BA194B23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139F-4115-B99C-880BA194B232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139F-4115-B99C-880BA194B23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139F-4115-B99C-880BA194B23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139F-4115-B99C-880BA194B232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139F-4115-B99C-880BA194B232}"/>
              </c:ext>
            </c:extLst>
          </c:dPt>
          <c:cat>
            <c:strRef>
              <c:f>'ago 2023'!$X$8:$X$20</c:f>
              <c:strCache>
                <c:ptCount val="13"/>
                <c:pt idx="0">
                  <c:v>99 Pay</c:v>
                </c:pt>
                <c:pt idx="1">
                  <c:v>BB André</c:v>
                </c:pt>
                <c:pt idx="2">
                  <c:v>BB Nath</c:v>
                </c:pt>
                <c:pt idx="3">
                  <c:v>C. Crédito BB Nathi</c:v>
                </c:pt>
                <c:pt idx="4">
                  <c:v>C. Crédito Inter Nathi</c:v>
                </c:pt>
                <c:pt idx="5">
                  <c:v>Dinheiro</c:v>
                </c:pt>
                <c:pt idx="6">
                  <c:v>Good Card</c:v>
                </c:pt>
                <c:pt idx="7">
                  <c:v>Inter André</c:v>
                </c:pt>
                <c:pt idx="8">
                  <c:v>Inter Nath</c:v>
                </c:pt>
                <c:pt idx="9">
                  <c:v>Mercado Pago</c:v>
                </c:pt>
                <c:pt idx="10">
                  <c:v>Nubank</c:v>
                </c:pt>
                <c:pt idx="11">
                  <c:v>Sofisa</c:v>
                </c:pt>
                <c:pt idx="12">
                  <c:v>VR</c:v>
                </c:pt>
              </c:strCache>
            </c:strRef>
          </c:cat>
          <c:val>
            <c:numRef>
              <c:f>'ago 2023'!$Z$8:$Z$20</c:f>
              <c:numCache>
                <c:formatCode>"R$"#,##0.00_);\("R$"#,##0.00\)</c:formatCode>
                <c:ptCount val="13"/>
                <c:pt idx="0" formatCode="_(&quot;R$&quot;* #,##0.00_);_(&quot;R$&quot;* \(#,##0.00\);_(&quot;R$&quot;* &quot;-&quot;??_);_(@_)">
                  <c:v>0</c:v>
                </c:pt>
                <c:pt idx="1">
                  <c:v>185.28</c:v>
                </c:pt>
                <c:pt idx="2">
                  <c:v>27.17</c:v>
                </c:pt>
                <c:pt idx="3" formatCode="_(&quot;R$&quot;* #,##0.00_);_(&quot;R$&quot;* \(#,##0.00\);_(&quot;R$&quot;* &quot;-&quot;??_);_(@_)">
                  <c:v>0</c:v>
                </c:pt>
                <c:pt idx="4" formatCode="_(&quot;R$&quot;* #,##0.00_);_(&quot;R$&quot;* \(#,##0.00\);_(&quot;R$&quot;* &quot;-&quot;??_);_(@_)">
                  <c:v>0</c:v>
                </c:pt>
                <c:pt idx="5" formatCode="_(&quot;R$&quot;* #,##0.00_);_(&quot;R$&quot;* \(#,##0.00\);_(&quot;R$&quot;* &quot;-&quot;??_);_(@_)">
                  <c:v>0</c:v>
                </c:pt>
                <c:pt idx="6">
                  <c:v>0</c:v>
                </c:pt>
                <c:pt idx="7" formatCode="_(&quot;R$&quot;* #,##0.00_);_(&quot;R$&quot;* \(#,##0.00\);_(&quot;R$&quot;* &quot;-&quot;??_);_(@_)">
                  <c:v>0</c:v>
                </c:pt>
                <c:pt idx="8" formatCode="_(&quot;R$&quot;* #,##0.00_);_(&quot;R$&quot;* \(#,##0.00\);_(&quot;R$&quot;* &quot;-&quot;??_);_(@_)">
                  <c:v>0</c:v>
                </c:pt>
                <c:pt idx="9" formatCode="_(&quot;R$&quot;* #,##0.00_);_(&quot;R$&quot;* \(#,##0.00\);_(&quot;R$&quot;* &quot;-&quot;??_);_(@_)">
                  <c:v>0</c:v>
                </c:pt>
                <c:pt idx="10" formatCode="_(&quot;R$&quot;* #,##0.00_);_(&quot;R$&quot;* \(#,##0.00\);_(&quot;R$&quot;* &quot;-&quot;??_);_(@_)">
                  <c:v>0</c:v>
                </c:pt>
                <c:pt idx="11" formatCode="_(&quot;R$&quot;* #,##0.00_);_(&quot;R$&quot;* \(#,##0.00\);_(&quot;R$&quot;* &quot;-&quot;??_);_(@_)">
                  <c:v>0</c:v>
                </c:pt>
                <c:pt idx="12" formatCode="_(&quot;R$&quot;* #,##0.00_);_(&quot;R$&quot;* \(#,##0.00\);_(&quot;R$&quot;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3B-45FD-AB8E-3694D306D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34300752"/>
        <c:axId val="206840876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'ago 2023'!$Y$7</c15:sqref>
                        </c15:formulaRef>
                      </c:ext>
                    </c:extLst>
                    <c:strCache>
                      <c:ptCount val="1"/>
                      <c:pt idx="0">
                        <c:v>entrada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 w="19050">
                    <a:solidFill>
                      <a:schemeClr val="lt1"/>
                    </a:solidFill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139F-4115-B99C-880BA194B232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139F-4115-B99C-880BA194B232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5-139F-4115-B99C-880BA194B232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139F-4115-B99C-880BA194B232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139F-4115-B99C-880BA194B232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139F-4115-B99C-880BA194B232}"/>
                    </c:ext>
                  </c:extLst>
                </c:dPt>
                <c:dPt>
                  <c:idx val="6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D-139F-4115-B99C-880BA194B232}"/>
                    </c:ext>
                  </c:extLst>
                </c:dPt>
                <c:dPt>
                  <c:idx val="7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F-139F-4115-B99C-880BA194B232}"/>
                    </c:ext>
                  </c:extLst>
                </c:dPt>
                <c:dPt>
                  <c:idx val="8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1-139F-4115-B99C-880BA194B232}"/>
                    </c:ext>
                  </c:extLst>
                </c:dPt>
                <c:dPt>
                  <c:idx val="9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3-139F-4115-B99C-880BA194B232}"/>
                    </c:ext>
                  </c:extLst>
                </c:dPt>
                <c:dPt>
                  <c:idx val="10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5-139F-4115-B99C-880BA194B232}"/>
                    </c:ext>
                  </c:extLst>
                </c:dPt>
                <c:dPt>
                  <c:idx val="11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7-139F-4115-B99C-880BA194B232}"/>
                    </c:ext>
                  </c:extLst>
                </c:dPt>
                <c:dPt>
                  <c:idx val="12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9-139F-4115-B99C-880BA194B232}"/>
                    </c:ext>
                  </c:extLst>
                </c:dPt>
                <c:cat>
                  <c:strRef>
                    <c:extLst>
                      <c:ext uri="{02D57815-91ED-43cb-92C2-25804820EDAC}">
                        <c15:formulaRef>
                          <c15:sqref>'ago 2023'!$X$8:$X$20</c15:sqref>
                        </c15:formulaRef>
                      </c:ext>
                    </c:extLst>
                    <c:strCache>
                      <c:ptCount val="13"/>
                      <c:pt idx="0">
                        <c:v>99 Pay</c:v>
                      </c:pt>
                      <c:pt idx="1">
                        <c:v>BB André</c:v>
                      </c:pt>
                      <c:pt idx="2">
                        <c:v>BB Nath</c:v>
                      </c:pt>
                      <c:pt idx="3">
                        <c:v>C. Crédito BB Nathi</c:v>
                      </c:pt>
                      <c:pt idx="4">
                        <c:v>C. Crédito Inter Nathi</c:v>
                      </c:pt>
                      <c:pt idx="5">
                        <c:v>Dinheiro</c:v>
                      </c:pt>
                      <c:pt idx="6">
                        <c:v>Good Card</c:v>
                      </c:pt>
                      <c:pt idx="7">
                        <c:v>Inter André</c:v>
                      </c:pt>
                      <c:pt idx="8">
                        <c:v>Inter Nath</c:v>
                      </c:pt>
                      <c:pt idx="9">
                        <c:v>Mercado Pago</c:v>
                      </c:pt>
                      <c:pt idx="10">
                        <c:v>Nubank</c:v>
                      </c:pt>
                      <c:pt idx="11">
                        <c:v>Sofisa</c:v>
                      </c:pt>
                      <c:pt idx="12">
                        <c:v>VR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'ago 2023'!$Y$8:$Y$20</c15:sqref>
                        </c15:formulaRef>
                      </c:ext>
                    </c:extLst>
                    <c:numCache>
                      <c:formatCode>"R$"#,##0.00_);\("R$"#,##0.00\)</c:formatCode>
                      <c:ptCount val="13"/>
                      <c:pt idx="0" formatCode="_(&quot;R$&quot;* #,##0.00_);_(&quot;R$&quot;* \(#,##0.00\);_(&quot;R$&quot;* &quot;-&quot;??_);_(@_)">
                        <c:v>0</c:v>
                      </c:pt>
                      <c:pt idx="1">
                        <c:v>304.33999999999997</c:v>
                      </c:pt>
                      <c:pt idx="2">
                        <c:v>103.7</c:v>
                      </c:pt>
                      <c:pt idx="3" formatCode="_(&quot;R$&quot;* #,##0.00_);_(&quot;R$&quot;* \(#,##0.00\);_(&quot;R$&quot;* &quot;-&quot;??_);_(@_)">
                        <c:v>0</c:v>
                      </c:pt>
                      <c:pt idx="4" formatCode="_(&quot;R$&quot;* #,##0.00_);_(&quot;R$&quot;* \(#,##0.00\);_(&quot;R$&quot;* &quot;-&quot;??_);_(@_)">
                        <c:v>0</c:v>
                      </c:pt>
                      <c:pt idx="5" formatCode="_(&quot;R$&quot;* #,##0.00_);_(&quot;R$&quot;* \(#,##0.00\);_(&quot;R$&quot;* &quot;-&quot;??_);_(@_)">
                        <c:v>0</c:v>
                      </c:pt>
                      <c:pt idx="6" formatCode="_(&quot;R$&quot;* #,##0.00_);_(&quot;R$&quot;* \(#,##0.00\);_(&quot;R$&quot;* &quot;-&quot;??_);_(@_)">
                        <c:v>0</c:v>
                      </c:pt>
                      <c:pt idx="7" formatCode="_(&quot;R$&quot;* #,##0.00_);_(&quot;R$&quot;* \(#,##0.00\);_(&quot;R$&quot;* &quot;-&quot;??_);_(@_)">
                        <c:v>0</c:v>
                      </c:pt>
                      <c:pt idx="8" formatCode="_(&quot;R$&quot;* #,##0.00_);_(&quot;R$&quot;* \(#,##0.00\);_(&quot;R$&quot;* &quot;-&quot;??_);_(@_)">
                        <c:v>0</c:v>
                      </c:pt>
                      <c:pt idx="9" formatCode="_(&quot;R$&quot;* #,##0.00_);_(&quot;R$&quot;* \(#,##0.00\);_(&quot;R$&quot;* &quot;-&quot;??_);_(@_)">
                        <c:v>0</c:v>
                      </c:pt>
                      <c:pt idx="10" formatCode="_(&quot;R$&quot;* #,##0.00_);_(&quot;R$&quot;* \(#,##0.00\);_(&quot;R$&quot;* &quot;-&quot;??_);_(@_)">
                        <c:v>0</c:v>
                      </c:pt>
                      <c:pt idx="11" formatCode="_(&quot;R$&quot;* #,##0.00_);_(&quot;R$&quot;* \(#,##0.00\);_(&quot;R$&quot;* &quot;-&quot;??_);_(@_)">
                        <c:v>0</c:v>
                      </c:pt>
                      <c:pt idx="12" formatCode="_(&quot;R$&quot;* #,##0.00_);_(&quot;R$&quot;* \(#,##0.00\);_(&quot;R$&quot;* &quot;-&quot;??_);_(@_)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33B-45FD-AB8E-3694D306D0DF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'ago 2023'!$AA$7</c15:sqref>
                        </c15:formulaRef>
                      </c:ext>
                    </c:extLst>
                    <c:strCache>
                      <c:ptCount val="1"/>
                      <c:pt idx="0">
                        <c:v>saldo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 w="19050">
                    <a:solidFill>
                      <a:schemeClr val="lt1"/>
                    </a:solidFill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139F-4115-B99C-880BA194B232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139F-4115-B99C-880BA194B232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139F-4115-B99C-880BA194B232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F-139F-4115-B99C-880BA194B232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1-139F-4115-B99C-880BA194B232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139F-4115-B99C-880BA194B232}"/>
                    </c:ext>
                  </c:extLst>
                </c:dPt>
                <c:dPt>
                  <c:idx val="6"/>
                  <c:invertIfNegative val="0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139F-4115-B99C-880BA194B232}"/>
                    </c:ext>
                  </c:extLst>
                </c:dPt>
                <c:dPt>
                  <c:idx val="7"/>
                  <c:invertIfNegative val="0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139F-4115-B99C-880BA194B232}"/>
                    </c:ext>
                  </c:extLst>
                </c:dPt>
                <c:dPt>
                  <c:idx val="8"/>
                  <c:invertIfNegative val="0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139F-4115-B99C-880BA194B232}"/>
                    </c:ext>
                  </c:extLst>
                </c:dPt>
                <c:dPt>
                  <c:idx val="9"/>
                  <c:invertIfNegative val="0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139F-4115-B99C-880BA194B232}"/>
                    </c:ext>
                  </c:extLst>
                </c:dPt>
                <c:dPt>
                  <c:idx val="10"/>
                  <c:invertIfNegative val="0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D-139F-4115-B99C-880BA194B232}"/>
                    </c:ext>
                  </c:extLst>
                </c:dPt>
                <c:dPt>
                  <c:idx val="11"/>
                  <c:invertIfNegative val="0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F-139F-4115-B99C-880BA194B232}"/>
                    </c:ext>
                  </c:extLst>
                </c:dPt>
                <c:dPt>
                  <c:idx val="12"/>
                  <c:invertIfNegative val="0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1-139F-4115-B99C-880BA194B232}"/>
                    </c:ext>
                  </c:extLst>
                </c:dPt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'ago 2023'!$X$8:$X$20</c15:sqref>
                        </c15:formulaRef>
                      </c:ext>
                    </c:extLst>
                    <c:strCache>
                      <c:ptCount val="13"/>
                      <c:pt idx="0">
                        <c:v>99 Pay</c:v>
                      </c:pt>
                      <c:pt idx="1">
                        <c:v>BB André</c:v>
                      </c:pt>
                      <c:pt idx="2">
                        <c:v>BB Nath</c:v>
                      </c:pt>
                      <c:pt idx="3">
                        <c:v>C. Crédito BB Nathi</c:v>
                      </c:pt>
                      <c:pt idx="4">
                        <c:v>C. Crédito Inter Nathi</c:v>
                      </c:pt>
                      <c:pt idx="5">
                        <c:v>Dinheiro</c:v>
                      </c:pt>
                      <c:pt idx="6">
                        <c:v>Good Card</c:v>
                      </c:pt>
                      <c:pt idx="7">
                        <c:v>Inter André</c:v>
                      </c:pt>
                      <c:pt idx="8">
                        <c:v>Inter Nath</c:v>
                      </c:pt>
                      <c:pt idx="9">
                        <c:v>Mercado Pago</c:v>
                      </c:pt>
                      <c:pt idx="10">
                        <c:v>Nubank</c:v>
                      </c:pt>
                      <c:pt idx="11">
                        <c:v>Sofisa</c:v>
                      </c:pt>
                      <c:pt idx="12">
                        <c:v>VR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'ago 2023'!$AA$8:$AA$20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13"/>
                      <c:pt idx="0">
                        <c:v>0</c:v>
                      </c:pt>
                      <c:pt idx="1">
                        <c:v>119.05999999999997</c:v>
                      </c:pt>
                      <c:pt idx="2">
                        <c:v>76.53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33B-45FD-AB8E-3694D306D0DF}"/>
                  </c:ext>
                </c:extLst>
              </c15:ser>
            </c15:filteredBarSeries>
          </c:ext>
        </c:extLst>
      </c:barChart>
      <c:catAx>
        <c:axId val="193430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68408768"/>
        <c:crosses val="autoZero"/>
        <c:auto val="1"/>
        <c:lblAlgn val="ctr"/>
        <c:lblOffset val="100"/>
        <c:noMultiLvlLbl val="0"/>
      </c:catAx>
      <c:valAx>
        <c:axId val="20684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430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Saldo por conta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'ago 2023'!$AA$7</c:f>
              <c:strCache>
                <c:ptCount val="1"/>
                <c:pt idx="0">
                  <c:v>saldo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005-4E45-883F-10B4B7BA0D2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005-4E45-883F-10B4B7BA0D2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005-4E45-883F-10B4B7BA0D2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005-4E45-883F-10B4B7BA0D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005-4E45-883F-10B4B7BA0D2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005-4E45-883F-10B4B7BA0D22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005-4E45-883F-10B4B7BA0D2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005-4E45-883F-10B4B7BA0D22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005-4E45-883F-10B4B7BA0D22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005-4E45-883F-10B4B7BA0D2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005-4E45-883F-10B4B7BA0D2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005-4E45-883F-10B4B7BA0D22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005-4E45-883F-10B4B7BA0D22}"/>
              </c:ext>
            </c:extLst>
          </c:dPt>
          <c:cat>
            <c:strRef>
              <c:f>'ago 2023'!$X$8:$X$20</c:f>
              <c:strCache>
                <c:ptCount val="13"/>
                <c:pt idx="0">
                  <c:v>99 Pay</c:v>
                </c:pt>
                <c:pt idx="1">
                  <c:v>BB André</c:v>
                </c:pt>
                <c:pt idx="2">
                  <c:v>BB Nath</c:v>
                </c:pt>
                <c:pt idx="3">
                  <c:v>C. Crédito BB Nathi</c:v>
                </c:pt>
                <c:pt idx="4">
                  <c:v>C. Crédito Inter Nathi</c:v>
                </c:pt>
                <c:pt idx="5">
                  <c:v>Dinheiro</c:v>
                </c:pt>
                <c:pt idx="6">
                  <c:v>Good Card</c:v>
                </c:pt>
                <c:pt idx="7">
                  <c:v>Inter André</c:v>
                </c:pt>
                <c:pt idx="8">
                  <c:v>Inter Nath</c:v>
                </c:pt>
                <c:pt idx="9">
                  <c:v>Mercado Pago</c:v>
                </c:pt>
                <c:pt idx="10">
                  <c:v>Nubank</c:v>
                </c:pt>
                <c:pt idx="11">
                  <c:v>Sofisa</c:v>
                </c:pt>
                <c:pt idx="12">
                  <c:v>VR</c:v>
                </c:pt>
              </c:strCache>
            </c:strRef>
          </c:cat>
          <c:val>
            <c:numRef>
              <c:f>'ago 2023'!$AA$8:$AA$20</c:f>
              <c:numCache>
                <c:formatCode>_("R$"* #,##0.00_);_("R$"* \(#,##0.00\);_("R$"* "-"??_);_(@_)</c:formatCode>
                <c:ptCount val="13"/>
                <c:pt idx="0">
                  <c:v>0</c:v>
                </c:pt>
                <c:pt idx="1">
                  <c:v>119.05999999999997</c:v>
                </c:pt>
                <c:pt idx="2">
                  <c:v>76.53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A506-4E0C-9C0F-0174C0EE3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34300752"/>
        <c:axId val="206840876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'ago 2023'!$Y$7</c15:sqref>
                        </c15:formulaRef>
                      </c:ext>
                    </c:extLst>
                    <c:strCache>
                      <c:ptCount val="1"/>
                      <c:pt idx="0">
                        <c:v>entrada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 w="19050">
                    <a:solidFill>
                      <a:schemeClr val="lt1"/>
                    </a:solidFill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139F-4115-B99C-880BA194B232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139F-4115-B99C-880BA194B232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5-139F-4115-B99C-880BA194B232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139F-4115-B99C-880BA194B232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139F-4115-B99C-880BA194B232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139F-4115-B99C-880BA194B232}"/>
                    </c:ext>
                  </c:extLst>
                </c:dPt>
                <c:dPt>
                  <c:idx val="6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D-139F-4115-B99C-880BA194B232}"/>
                    </c:ext>
                  </c:extLst>
                </c:dPt>
                <c:dPt>
                  <c:idx val="7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F-139F-4115-B99C-880BA194B232}"/>
                    </c:ext>
                  </c:extLst>
                </c:dPt>
                <c:dPt>
                  <c:idx val="8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1-139F-4115-B99C-880BA194B232}"/>
                    </c:ext>
                  </c:extLst>
                </c:dPt>
                <c:dPt>
                  <c:idx val="9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3-139F-4115-B99C-880BA194B232}"/>
                    </c:ext>
                  </c:extLst>
                </c:dPt>
                <c:dPt>
                  <c:idx val="10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5-139F-4115-B99C-880BA194B232}"/>
                    </c:ext>
                  </c:extLst>
                </c:dPt>
                <c:dPt>
                  <c:idx val="11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7-139F-4115-B99C-880BA194B232}"/>
                    </c:ext>
                  </c:extLst>
                </c:dPt>
                <c:dPt>
                  <c:idx val="12"/>
                  <c:invertIfNegative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9-139F-4115-B99C-880BA194B232}"/>
                    </c:ext>
                  </c:extLst>
                </c:dPt>
                <c:cat>
                  <c:strRef>
                    <c:extLst>
                      <c:ext uri="{02D57815-91ED-43cb-92C2-25804820EDAC}">
                        <c15:formulaRef>
                          <c15:sqref>'ago 2023'!$X$8:$X$20</c15:sqref>
                        </c15:formulaRef>
                      </c:ext>
                    </c:extLst>
                    <c:strCache>
                      <c:ptCount val="13"/>
                      <c:pt idx="0">
                        <c:v>99 Pay</c:v>
                      </c:pt>
                      <c:pt idx="1">
                        <c:v>BB André</c:v>
                      </c:pt>
                      <c:pt idx="2">
                        <c:v>BB Nath</c:v>
                      </c:pt>
                      <c:pt idx="3">
                        <c:v>C. Crédito BB Nathi</c:v>
                      </c:pt>
                      <c:pt idx="4">
                        <c:v>C. Crédito Inter Nathi</c:v>
                      </c:pt>
                      <c:pt idx="5">
                        <c:v>Dinheiro</c:v>
                      </c:pt>
                      <c:pt idx="6">
                        <c:v>Good Card</c:v>
                      </c:pt>
                      <c:pt idx="7">
                        <c:v>Inter André</c:v>
                      </c:pt>
                      <c:pt idx="8">
                        <c:v>Inter Nath</c:v>
                      </c:pt>
                      <c:pt idx="9">
                        <c:v>Mercado Pago</c:v>
                      </c:pt>
                      <c:pt idx="10">
                        <c:v>Nubank</c:v>
                      </c:pt>
                      <c:pt idx="11">
                        <c:v>Sofisa</c:v>
                      </c:pt>
                      <c:pt idx="12">
                        <c:v>VR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'ago 2023'!$Y$8:$Y$20</c15:sqref>
                        </c15:formulaRef>
                      </c:ext>
                    </c:extLst>
                    <c:numCache>
                      <c:formatCode>"R$"#,##0.00_);\("R$"#,##0.00\)</c:formatCode>
                      <c:ptCount val="13"/>
                      <c:pt idx="0" formatCode="_(&quot;R$&quot;* #,##0.00_);_(&quot;R$&quot;* \(#,##0.00\);_(&quot;R$&quot;* &quot;-&quot;??_);_(@_)">
                        <c:v>0</c:v>
                      </c:pt>
                      <c:pt idx="1">
                        <c:v>304.33999999999997</c:v>
                      </c:pt>
                      <c:pt idx="2">
                        <c:v>103.7</c:v>
                      </c:pt>
                      <c:pt idx="3" formatCode="_(&quot;R$&quot;* #,##0.00_);_(&quot;R$&quot;* \(#,##0.00\);_(&quot;R$&quot;* &quot;-&quot;??_);_(@_)">
                        <c:v>0</c:v>
                      </c:pt>
                      <c:pt idx="4" formatCode="_(&quot;R$&quot;* #,##0.00_);_(&quot;R$&quot;* \(#,##0.00\);_(&quot;R$&quot;* &quot;-&quot;??_);_(@_)">
                        <c:v>0</c:v>
                      </c:pt>
                      <c:pt idx="5" formatCode="_(&quot;R$&quot;* #,##0.00_);_(&quot;R$&quot;* \(#,##0.00\);_(&quot;R$&quot;* &quot;-&quot;??_);_(@_)">
                        <c:v>0</c:v>
                      </c:pt>
                      <c:pt idx="6" formatCode="_(&quot;R$&quot;* #,##0.00_);_(&quot;R$&quot;* \(#,##0.00\);_(&quot;R$&quot;* &quot;-&quot;??_);_(@_)">
                        <c:v>0</c:v>
                      </c:pt>
                      <c:pt idx="7" formatCode="_(&quot;R$&quot;* #,##0.00_);_(&quot;R$&quot;* \(#,##0.00\);_(&quot;R$&quot;* &quot;-&quot;??_);_(@_)">
                        <c:v>0</c:v>
                      </c:pt>
                      <c:pt idx="8" formatCode="_(&quot;R$&quot;* #,##0.00_);_(&quot;R$&quot;* \(#,##0.00\);_(&quot;R$&quot;* &quot;-&quot;??_);_(@_)">
                        <c:v>0</c:v>
                      </c:pt>
                      <c:pt idx="9" formatCode="_(&quot;R$&quot;* #,##0.00_);_(&quot;R$&quot;* \(#,##0.00\);_(&quot;R$&quot;* &quot;-&quot;??_);_(@_)">
                        <c:v>0</c:v>
                      </c:pt>
                      <c:pt idx="10" formatCode="_(&quot;R$&quot;* #,##0.00_);_(&quot;R$&quot;* \(#,##0.00\);_(&quot;R$&quot;* &quot;-&quot;??_);_(@_)">
                        <c:v>0</c:v>
                      </c:pt>
                      <c:pt idx="11" formatCode="_(&quot;R$&quot;* #,##0.00_);_(&quot;R$&quot;* \(#,##0.00\);_(&quot;R$&quot;* &quot;-&quot;??_);_(@_)">
                        <c:v>0</c:v>
                      </c:pt>
                      <c:pt idx="12" formatCode="_(&quot;R$&quot;* #,##0.00_);_(&quot;R$&quot;* \(#,##0.00\);_(&quot;R$&quot;* &quot;-&quot;??_);_(@_)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33B-45FD-AB8E-3694D306D0DF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'ago 2023'!$Z$7</c15:sqref>
                        </c15:formulaRef>
                      </c:ext>
                    </c:extLst>
                    <c:strCache>
                      <c:ptCount val="1"/>
                      <c:pt idx="0">
                        <c:v>saída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 w="19050">
                    <a:solidFill>
                      <a:schemeClr val="lt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'ago 2023'!$X$8:$X$20</c15:sqref>
                        </c15:formulaRef>
                      </c:ext>
                    </c:extLst>
                    <c:strCache>
                      <c:ptCount val="13"/>
                      <c:pt idx="0">
                        <c:v>99 Pay</c:v>
                      </c:pt>
                      <c:pt idx="1">
                        <c:v>BB André</c:v>
                      </c:pt>
                      <c:pt idx="2">
                        <c:v>BB Nath</c:v>
                      </c:pt>
                      <c:pt idx="3">
                        <c:v>C. Crédito BB Nathi</c:v>
                      </c:pt>
                      <c:pt idx="4">
                        <c:v>C. Crédito Inter Nathi</c:v>
                      </c:pt>
                      <c:pt idx="5">
                        <c:v>Dinheiro</c:v>
                      </c:pt>
                      <c:pt idx="6">
                        <c:v>Good Card</c:v>
                      </c:pt>
                      <c:pt idx="7">
                        <c:v>Inter André</c:v>
                      </c:pt>
                      <c:pt idx="8">
                        <c:v>Inter Nath</c:v>
                      </c:pt>
                      <c:pt idx="9">
                        <c:v>Mercado Pago</c:v>
                      </c:pt>
                      <c:pt idx="10">
                        <c:v>Nubank</c:v>
                      </c:pt>
                      <c:pt idx="11">
                        <c:v>Sofisa</c:v>
                      </c:pt>
                      <c:pt idx="12">
                        <c:v>VR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'ago 2023'!$Z$8:$Z$20</c15:sqref>
                        </c15:formulaRef>
                      </c:ext>
                    </c:extLst>
                    <c:numCache>
                      <c:formatCode>"R$"#,##0.00_);\("R$"#,##0.00\)</c:formatCode>
                      <c:ptCount val="13"/>
                      <c:pt idx="0" formatCode="_(&quot;R$&quot;* #,##0.00_);_(&quot;R$&quot;* \(#,##0.00\);_(&quot;R$&quot;* &quot;-&quot;??_);_(@_)">
                        <c:v>0</c:v>
                      </c:pt>
                      <c:pt idx="1">
                        <c:v>185.28</c:v>
                      </c:pt>
                      <c:pt idx="2">
                        <c:v>27.17</c:v>
                      </c:pt>
                      <c:pt idx="3" formatCode="_(&quot;R$&quot;* #,##0.00_);_(&quot;R$&quot;* \(#,##0.00\);_(&quot;R$&quot;* &quot;-&quot;??_);_(@_)">
                        <c:v>0</c:v>
                      </c:pt>
                      <c:pt idx="4" formatCode="_(&quot;R$&quot;* #,##0.00_);_(&quot;R$&quot;* \(#,##0.00\);_(&quot;R$&quot;* &quot;-&quot;??_);_(@_)">
                        <c:v>0</c:v>
                      </c:pt>
                      <c:pt idx="5" formatCode="_(&quot;R$&quot;* #,##0.00_);_(&quot;R$&quot;* \(#,##0.00\);_(&quot;R$&quot;* &quot;-&quot;??_);_(@_)">
                        <c:v>0</c:v>
                      </c:pt>
                      <c:pt idx="6">
                        <c:v>0</c:v>
                      </c:pt>
                      <c:pt idx="7" formatCode="_(&quot;R$&quot;* #,##0.00_);_(&quot;R$&quot;* \(#,##0.00\);_(&quot;R$&quot;* &quot;-&quot;??_);_(@_)">
                        <c:v>0</c:v>
                      </c:pt>
                      <c:pt idx="8" formatCode="_(&quot;R$&quot;* #,##0.00_);_(&quot;R$&quot;* \(#,##0.00\);_(&quot;R$&quot;* &quot;-&quot;??_);_(@_)">
                        <c:v>0</c:v>
                      </c:pt>
                      <c:pt idx="9" formatCode="_(&quot;R$&quot;* #,##0.00_);_(&quot;R$&quot;* \(#,##0.00\);_(&quot;R$&quot;* &quot;-&quot;??_);_(@_)">
                        <c:v>0</c:v>
                      </c:pt>
                      <c:pt idx="10" formatCode="_(&quot;R$&quot;* #,##0.00_);_(&quot;R$&quot;* \(#,##0.00\);_(&quot;R$&quot;* &quot;-&quot;??_);_(@_)">
                        <c:v>0</c:v>
                      </c:pt>
                      <c:pt idx="11" formatCode="_(&quot;R$&quot;* #,##0.00_);_(&quot;R$&quot;* \(#,##0.00\);_(&quot;R$&quot;* &quot;-&quot;??_);_(@_)">
                        <c:v>0</c:v>
                      </c:pt>
                      <c:pt idx="12" formatCode="_(&quot;R$&quot;* #,##0.00_);_(&quot;R$&quot;* \(#,##0.00\);_(&quot;R$&quot;* &quot;-&quot;??_);_(@_)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506-4E0C-9C0F-0174C0EE3949}"/>
                  </c:ext>
                </c:extLst>
              </c15:ser>
            </c15:filteredBarSeries>
          </c:ext>
        </c:extLst>
      </c:barChart>
      <c:catAx>
        <c:axId val="193430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68408768"/>
        <c:crosses val="autoZero"/>
        <c:auto val="1"/>
        <c:lblAlgn val="ctr"/>
        <c:lblOffset val="100"/>
        <c:noMultiLvlLbl val="0"/>
      </c:catAx>
      <c:valAx>
        <c:axId val="20684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430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0</xdr:row>
      <xdr:rowOff>190499</xdr:rowOff>
    </xdr:from>
    <xdr:to>
      <xdr:col>18</xdr:col>
      <xdr:colOff>361950</xdr:colOff>
      <xdr:row>6</xdr:row>
      <xdr:rowOff>66674</xdr:rowOff>
    </xdr:to>
    <xdr:sp macro="[0]!abr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191E380-84FB-D36E-029E-96DFEBF8FEDE}"/>
            </a:ext>
          </a:extLst>
        </xdr:cNvPr>
        <xdr:cNvSpPr/>
      </xdr:nvSpPr>
      <xdr:spPr>
        <a:xfrm>
          <a:off x="8239125" y="190499"/>
          <a:ext cx="2724150" cy="1019175"/>
        </a:xfrm>
        <a:prstGeom prst="roundRect">
          <a:avLst/>
        </a:prstGeom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50">
              <a:ln w="0"/>
              <a:solidFill>
                <a:schemeClr val="bg2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a:rPr>
            <a:t>ABRIR O</a:t>
          </a:r>
          <a:r>
            <a:rPr lang="pt-BR" sz="2000" b="1" cap="none" spc="50" baseline="0">
              <a:ln w="0"/>
              <a:solidFill>
                <a:schemeClr val="bg2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a:rPr>
            <a:t> SISTEMA</a:t>
          </a:r>
          <a:endParaRPr lang="pt-BR" sz="2000" b="1" cap="none" spc="50">
            <a:ln w="0"/>
            <a:solidFill>
              <a:schemeClr val="bg2"/>
            </a:solidFill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19</xdr:col>
      <xdr:colOff>247650</xdr:colOff>
      <xdr:row>0</xdr:row>
      <xdr:rowOff>71437</xdr:rowOff>
    </xdr:from>
    <xdr:to>
      <xdr:col>26</xdr:col>
      <xdr:colOff>552450</xdr:colOff>
      <xdr:row>14</xdr:row>
      <xdr:rowOff>138112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9025AB6-E19F-D715-EE58-DC0527924F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247650</xdr:colOff>
      <xdr:row>15</xdr:row>
      <xdr:rowOff>42862</xdr:rowOff>
    </xdr:from>
    <xdr:to>
      <xdr:col>34</xdr:col>
      <xdr:colOff>552450</xdr:colOff>
      <xdr:row>29</xdr:row>
      <xdr:rowOff>119062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025615B-5E97-32B5-2A56-66CEB6A6D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257175</xdr:colOff>
      <xdr:row>30</xdr:row>
      <xdr:rowOff>42862</xdr:rowOff>
    </xdr:from>
    <xdr:to>
      <xdr:col>34</xdr:col>
      <xdr:colOff>561975</xdr:colOff>
      <xdr:row>44</xdr:row>
      <xdr:rowOff>119062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7CBF3363-C174-D764-BBB9-DC145930A0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238125</xdr:colOff>
      <xdr:row>0</xdr:row>
      <xdr:rowOff>61912</xdr:rowOff>
    </xdr:from>
    <xdr:to>
      <xdr:col>34</xdr:col>
      <xdr:colOff>542925</xdr:colOff>
      <xdr:row>14</xdr:row>
      <xdr:rowOff>128587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47709288-12B3-3DD8-AA52-85F8C5EB2E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4293EE-7AD0-4D52-9E0E-2ABB2CB425C8}" name="tabTipo" displayName="tabTipo" ref="A1:A3" totalsRowShown="0">
  <tableColumns count="1">
    <tableColumn id="1" xr3:uid="{9FAA1077-9A06-4208-A5E5-82788A625583}" name="Tipo despesa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4C3D3C-C881-41FB-BB18-35826460B00D}" name="Tabela4" displayName="Tabela4" ref="C1:C3" totalsRowShown="0">
  <tableColumns count="1">
    <tableColumn id="1" xr3:uid="{D451C372-9560-473C-A490-57C795AE6C59}" name="Tipo Receitas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5B6CC93-8037-4D46-8D9B-3D17A58E6174}" name="tabTipo6" displayName="tabTipo6" ref="E1:E13" totalsRowShown="0">
  <sortState xmlns:xlrd2="http://schemas.microsoft.com/office/spreadsheetml/2017/richdata2" ref="E2:E13">
    <sortCondition ref="E2:E13"/>
  </sortState>
  <tableColumns count="1">
    <tableColumn id="1" xr3:uid="{308302B9-781F-4439-958D-EF15B0BFBA2C}" name="Categoria despesas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9061112-3C71-48B5-BAC2-CE20196098DF}" name="Tabela12" displayName="Tabela12" ref="I1:I14" totalsRowShown="0" dataDxfId="20">
  <autoFilter ref="I1:I14" xr:uid="{A9061112-3C71-48B5-BAC2-CE20196098DF}"/>
  <sortState xmlns:xlrd2="http://schemas.microsoft.com/office/spreadsheetml/2017/richdata2" ref="I2:I14">
    <sortCondition ref="I2:I14"/>
  </sortState>
  <tableColumns count="1">
    <tableColumn id="1" xr3:uid="{CF141986-A0DC-4C5E-A848-397236738423}" name="Conta" dataDxfId="1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7387AD2-8D59-46C0-8A4C-D245471E2528}" name="tabTipo614" displayName="tabTipo614" ref="G1:G6" totalsRowShown="0">
  <sortState xmlns:xlrd2="http://schemas.microsoft.com/office/spreadsheetml/2017/richdata2" ref="G2:G6">
    <sortCondition ref="G2:G6"/>
  </sortState>
  <tableColumns count="1">
    <tableColumn id="1" xr3:uid="{DFB6FB38-E01C-4025-A176-3A8DCF9AA8DC}" name="Categoria receitas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C384F-AEB4-4A67-A39B-0371F27B3156}" name="tabDatas" displayName="tabDatas" ref="Q1:Q91" totalsRowShown="0" headerRowDxfId="18" dataDxfId="17">
  <autoFilter ref="Q1:Q91" xr:uid="{4D8C384F-AEB4-4A67-A39B-0371F27B3156}"/>
  <tableColumns count="1">
    <tableColumn id="1" xr3:uid="{DD310313-334E-4F99-9E3E-10392A6E25D0}" name="Datas" dataDxfId="16">
      <calculatedColumnFormula>TODAY()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C15CCBE7-F013-4B7C-801F-876BF1D8EED0}" name="Tabela3857" displayName="Tabela3857" ref="A4:F6" totalsRowShown="0">
  <autoFilter ref="A4:F6" xr:uid="{C15CCBE7-F013-4B7C-801F-876BF1D8EED0}"/>
  <tableColumns count="6">
    <tableColumn id="1" xr3:uid="{B429C80D-D219-4BD1-B422-9F019E7FEAE8}" name="Descrição"/>
    <tableColumn id="2" xr3:uid="{B7C800AA-03CF-4A8F-B2C2-7F54DA64F784}" name="Valor" dataDxfId="15" dataCellStyle="Moeda"/>
    <tableColumn id="3" xr3:uid="{525C8ADD-4D2A-4754-810C-A7A0FD6BFFB5}" name="Dia" dataDxfId="14"/>
    <tableColumn id="4" xr3:uid="{F531509A-1248-4933-BCDE-11790F0B05F4}" name="Tipo"/>
    <tableColumn id="5" xr3:uid="{D77B1598-77CC-4E34-912E-7858AF12A927}" name="Categoria"/>
    <tableColumn id="8" xr3:uid="{A9D9055E-3599-4A25-A26E-39907A4C1EE7}" name="Banco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ABE2A0B2-0B07-4395-B445-BCEE46BC38BC}" name="Tabela310958" displayName="Tabela310958" ref="H4:M7" totalsRowShown="0">
  <autoFilter ref="H4:M7" xr:uid="{ABE2A0B2-0B07-4395-B445-BCEE46BC38BC}"/>
  <tableColumns count="6">
    <tableColumn id="1" xr3:uid="{4F37935E-5245-45D0-9A2A-8931CB33D974}" name="Descrição"/>
    <tableColumn id="2" xr3:uid="{FA9FD814-2B15-4B63-9A87-2E8323D8E695}" name="Valor" dataDxfId="13" dataCellStyle="Moeda"/>
    <tableColumn id="3" xr3:uid="{8695521F-5730-4E7F-9670-15FE970655BF}" name="Dia" dataDxfId="12"/>
    <tableColumn id="4" xr3:uid="{3B659574-33E3-4ECD-A168-CEAD09E7D615}" name="Tipo"/>
    <tableColumn id="5" xr3:uid="{84C9E10A-7BA3-4E68-937E-D983D808FA14}" name="Categoria"/>
    <tableColumn id="8" xr3:uid="{55F896BD-0621-42B2-AC86-7FD4F6BCDD15}" name="Banco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5D3607CB-7144-4C93-A206-DAD3E66CA8AA}" name="Tabela310121159" displayName="Tabela310121159" ref="O4:S5" totalsRowShown="0">
  <autoFilter ref="O4:S5" xr:uid="{5D3607CB-7144-4C93-A206-DAD3E66CA8AA}"/>
  <tableColumns count="5">
    <tableColumn id="1" xr3:uid="{40E71C57-0983-41E4-93FB-383A7588E999}" name="Descrição"/>
    <tableColumn id="2" xr3:uid="{7F6A28D9-B22A-43F8-83EC-3714559CEBB8}" name="Valor" dataDxfId="11" dataCellStyle="Moeda"/>
    <tableColumn id="3" xr3:uid="{3D19CBBD-F3FB-4C9E-9EB7-036CF50237CF}" name="Data" dataDxfId="10"/>
    <tableColumn id="4" xr3:uid="{6DCA9EC5-9A13-4895-87E1-E6BB09DEBEF6}" name="Origem"/>
    <tableColumn id="5" xr3:uid="{2F177A40-4AC9-4E3D-ABBF-1A5CE137BE92}" name="Destino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439A999C-49A7-4296-9144-ABBF21D95EE2}" name="Tabela11660" displayName="Tabela11660" ref="U1:V13" totalsRowShown="0">
  <tableColumns count="2">
    <tableColumn id="1" xr3:uid="{ACC2BBCD-F878-4FFD-8DAA-8C81738DEA7E}" name="Gastos por categoria" dataDxfId="9"/>
    <tableColumn id="2" xr3:uid="{3B0D8DFB-9F97-433C-8D53-391D8F2784A6}" name="Valores" dataDxfId="0" dataCellStyle="Moeda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C31E294-A90E-42E9-933C-7220EBF2B09A}" name="Tabela3" displayName="Tabela3" ref="X7:AA20" totalsRowShown="0" headerRowDxfId="8" headerRowBorderDxfId="7" tableBorderDxfId="6">
  <autoFilter ref="X7:AA20" xr:uid="{EC31E294-A90E-42E9-933C-7220EBF2B09A}">
    <filterColumn colId="0" hiddenButton="1"/>
    <filterColumn colId="1" hiddenButton="1"/>
    <filterColumn colId="2" hiddenButton="1"/>
    <filterColumn colId="3" hiddenButton="1"/>
  </autoFilter>
  <tableColumns count="4">
    <tableColumn id="1" xr3:uid="{489D75DE-42CC-4A8E-B57A-2EAC584E988F}" name="Nome"/>
    <tableColumn id="2" xr3:uid="{F72735D3-4A1E-4CFC-AE02-9D6C46C9F066}" name="entrada" dataDxfId="5" dataCellStyle="Moeda"/>
    <tableColumn id="3" xr3:uid="{6A3A6131-2A04-4062-A33E-EB401A379E8D}" name="saída" dataDxfId="4" dataCellStyle="Moeda"/>
    <tableColumn id="4" xr3:uid="{7603991F-ABEF-45B4-8202-C679D434BCFD}" name="saldo" dataDxfId="3" dataCellStyle="Moeda">
      <calculatedColumnFormula>Tabela3[[#This Row],[entrada]]-Tabela3[[#This Row],[saída]]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54BD3-B08C-44C9-A682-41C624421A18}">
  <sheetPr codeName="planDashboards"/>
  <dimension ref="A1:Q14"/>
  <sheetViews>
    <sheetView showGridLines="0" tabSelected="1" workbookViewId="0">
      <selection activeCell="Y22" sqref="Y22"/>
    </sheetView>
  </sheetViews>
  <sheetFormatPr defaultRowHeight="15" x14ac:dyDescent="0.25"/>
  <cols>
    <col min="8" max="8" width="3.5703125" customWidth="1"/>
  </cols>
  <sheetData>
    <row r="1" spans="1:17" ht="15" customHeight="1" x14ac:dyDescent="0.25">
      <c r="A1" s="20" t="s">
        <v>60</v>
      </c>
      <c r="B1" s="20"/>
      <c r="C1" s="20"/>
      <c r="D1" s="20"/>
      <c r="E1" s="20"/>
      <c r="F1" s="20"/>
      <c r="G1" s="20"/>
      <c r="I1" s="22">
        <v>195.59</v>
      </c>
      <c r="J1" s="22"/>
      <c r="K1" s="22"/>
      <c r="L1" s="22"/>
      <c r="M1" s="22"/>
      <c r="N1" s="22"/>
      <c r="Q1" s="8"/>
    </row>
    <row r="2" spans="1:17" ht="15" customHeigh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</row>
    <row r="3" spans="1:17" ht="15" customHeigh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</row>
    <row r="4" spans="1:17" ht="15" customHeigh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</row>
    <row r="5" spans="1:17" ht="15" customHeight="1" x14ac:dyDescent="0.25">
      <c r="A5" s="20"/>
      <c r="B5" s="20"/>
      <c r="C5" s="20"/>
      <c r="D5" s="20"/>
      <c r="E5" s="20"/>
      <c r="F5" s="20"/>
      <c r="G5" s="20"/>
      <c r="I5" s="22"/>
      <c r="J5" s="22"/>
      <c r="K5" s="22"/>
      <c r="L5" s="22"/>
      <c r="M5" s="22"/>
      <c r="N5" s="22"/>
    </row>
    <row r="6" spans="1:17" ht="15" customHeight="1" x14ac:dyDescent="0.25">
      <c r="A6" s="20"/>
      <c r="B6" s="20"/>
      <c r="C6" s="20"/>
      <c r="D6" s="20"/>
      <c r="E6" s="20"/>
      <c r="F6" s="20"/>
      <c r="G6" s="20"/>
      <c r="I6" s="22"/>
      <c r="J6" s="22"/>
      <c r="K6" s="22"/>
      <c r="L6" s="22"/>
      <c r="M6" s="22"/>
      <c r="N6" s="22"/>
    </row>
    <row r="7" spans="1:17" x14ac:dyDescent="0.25">
      <c r="A7" s="21">
        <f ca="1">TODAY()</f>
        <v>45140</v>
      </c>
      <c r="B7" s="21"/>
      <c r="C7" s="21"/>
      <c r="D7" s="21"/>
      <c r="E7" s="21"/>
      <c r="F7" s="21"/>
      <c r="G7" s="21"/>
      <c r="I7" s="22"/>
      <c r="J7" s="22"/>
      <c r="K7" s="22"/>
      <c r="L7" s="22"/>
      <c r="M7" s="22"/>
      <c r="N7" s="22"/>
    </row>
    <row r="8" spans="1:17" x14ac:dyDescent="0.25">
      <c r="A8" s="21"/>
      <c r="B8" s="21"/>
      <c r="C8" s="21"/>
      <c r="D8" s="21"/>
      <c r="E8" s="21"/>
      <c r="F8" s="21"/>
      <c r="G8" s="21"/>
      <c r="I8" s="22"/>
      <c r="J8" s="22"/>
      <c r="K8" s="22"/>
      <c r="L8" s="22"/>
      <c r="M8" s="22"/>
      <c r="N8" s="22"/>
    </row>
    <row r="14" spans="1:17" ht="15.75" x14ac:dyDescent="0.25">
      <c r="O14" s="5"/>
    </row>
  </sheetData>
  <mergeCells count="3">
    <mergeCell ref="A1:G6"/>
    <mergeCell ref="A7:G8"/>
    <mergeCell ref="I1:N8"/>
  </mergeCells>
  <conditionalFormatting sqref="I1">
    <cfRule type="cellIs" dxfId="2" priority="1" operator="greaterThan">
      <formula>0</formula>
    </cfRule>
    <cfRule type="cellIs" dxfId="1" priority="2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6DC24-3BDC-42F7-95BD-045413B8AD0C}">
  <sheetPr codeName="planBD"/>
  <dimension ref="A1:Q91"/>
  <sheetViews>
    <sheetView workbookViewId="0">
      <selection activeCell="P10" sqref="P10"/>
    </sheetView>
  </sheetViews>
  <sheetFormatPr defaultRowHeight="15" x14ac:dyDescent="0.25"/>
  <cols>
    <col min="1" max="1" width="16.28515625" bestFit="1" customWidth="1"/>
    <col min="2" max="2" width="1.85546875" customWidth="1"/>
    <col min="3" max="3" width="14.85546875" customWidth="1"/>
    <col min="4" max="4" width="2.5703125" customWidth="1"/>
    <col min="5" max="5" width="20.42578125" bestFit="1" customWidth="1"/>
    <col min="6" max="6" width="2" customWidth="1"/>
    <col min="7" max="7" width="20.42578125" bestFit="1" customWidth="1"/>
    <col min="8" max="8" width="1.42578125" customWidth="1"/>
    <col min="9" max="9" width="20" bestFit="1" customWidth="1"/>
    <col min="10" max="10" width="2.140625" customWidth="1"/>
    <col min="11" max="11" width="9.5703125" bestFit="1" customWidth="1"/>
    <col min="17" max="17" width="10.7109375" style="7" bestFit="1" customWidth="1"/>
  </cols>
  <sheetData>
    <row r="1" spans="1:17" x14ac:dyDescent="0.25">
      <c r="A1" t="s">
        <v>8</v>
      </c>
      <c r="C1" t="s">
        <v>9</v>
      </c>
      <c r="E1" t="s">
        <v>14</v>
      </c>
      <c r="G1" t="s">
        <v>58</v>
      </c>
      <c r="I1" t="s">
        <v>31</v>
      </c>
      <c r="Q1" s="7" t="s">
        <v>57</v>
      </c>
    </row>
    <row r="2" spans="1:17" x14ac:dyDescent="0.25">
      <c r="A2" t="s">
        <v>6</v>
      </c>
      <c r="C2" t="s">
        <v>47</v>
      </c>
      <c r="E2" t="s">
        <v>22</v>
      </c>
      <c r="G2" t="s">
        <v>11</v>
      </c>
      <c r="I2" t="s">
        <v>43</v>
      </c>
      <c r="J2" s="4"/>
      <c r="K2" s="4"/>
      <c r="Q2" s="7">
        <f ca="1">TODAY()</f>
        <v>45140</v>
      </c>
    </row>
    <row r="3" spans="1:17" ht="15" customHeight="1" x14ac:dyDescent="0.25">
      <c r="A3" t="s">
        <v>7</v>
      </c>
      <c r="C3" t="s">
        <v>48</v>
      </c>
      <c r="E3" t="s">
        <v>19</v>
      </c>
      <c r="G3" t="s">
        <v>13</v>
      </c>
      <c r="H3" s="2"/>
      <c r="I3" t="s">
        <v>33</v>
      </c>
      <c r="Q3" s="7">
        <v>45141</v>
      </c>
    </row>
    <row r="4" spans="1:17" x14ac:dyDescent="0.25">
      <c r="E4" t="s">
        <v>17</v>
      </c>
      <c r="G4" t="s">
        <v>12</v>
      </c>
      <c r="I4" t="s">
        <v>34</v>
      </c>
      <c r="Q4" s="7">
        <v>45142</v>
      </c>
    </row>
    <row r="5" spans="1:17" x14ac:dyDescent="0.25">
      <c r="E5" t="s">
        <v>15</v>
      </c>
      <c r="G5" t="s">
        <v>10</v>
      </c>
      <c r="H5" s="3"/>
      <c r="I5" t="s">
        <v>32</v>
      </c>
      <c r="Q5" s="7">
        <v>45143</v>
      </c>
    </row>
    <row r="6" spans="1:17" x14ac:dyDescent="0.25">
      <c r="E6" t="s">
        <v>20</v>
      </c>
      <c r="G6" t="s">
        <v>62</v>
      </c>
      <c r="I6" t="s">
        <v>38</v>
      </c>
      <c r="Q6" s="7">
        <v>45144</v>
      </c>
    </row>
    <row r="7" spans="1:17" x14ac:dyDescent="0.25">
      <c r="E7" t="s">
        <v>24</v>
      </c>
      <c r="H7" s="3"/>
      <c r="I7" t="s">
        <v>44</v>
      </c>
      <c r="Q7" s="7">
        <v>45145</v>
      </c>
    </row>
    <row r="8" spans="1:17" x14ac:dyDescent="0.25">
      <c r="E8" t="s">
        <v>23</v>
      </c>
      <c r="I8" t="s">
        <v>40</v>
      </c>
      <c r="Q8" s="7">
        <v>45146</v>
      </c>
    </row>
    <row r="9" spans="1:17" x14ac:dyDescent="0.25">
      <c r="E9" t="s">
        <v>16</v>
      </c>
      <c r="H9" s="3"/>
      <c r="I9" t="s">
        <v>36</v>
      </c>
      <c r="Q9" s="7">
        <v>45147</v>
      </c>
    </row>
    <row r="10" spans="1:17" x14ac:dyDescent="0.25">
      <c r="E10" t="s">
        <v>18</v>
      </c>
      <c r="I10" t="s">
        <v>37</v>
      </c>
      <c r="Q10" s="7">
        <v>45148</v>
      </c>
    </row>
    <row r="11" spans="1:17" x14ac:dyDescent="0.25">
      <c r="E11" t="s">
        <v>26</v>
      </c>
      <c r="H11" s="3"/>
      <c r="I11" t="s">
        <v>39</v>
      </c>
      <c r="Q11" s="7">
        <v>45149</v>
      </c>
    </row>
    <row r="12" spans="1:17" x14ac:dyDescent="0.25">
      <c r="E12" t="s">
        <v>25</v>
      </c>
      <c r="I12" t="s">
        <v>35</v>
      </c>
      <c r="Q12" s="7">
        <v>45150</v>
      </c>
    </row>
    <row r="13" spans="1:17" x14ac:dyDescent="0.25">
      <c r="E13" t="s">
        <v>21</v>
      </c>
      <c r="H13" s="3"/>
      <c r="I13" t="s">
        <v>42</v>
      </c>
      <c r="Q13" s="7">
        <v>45151</v>
      </c>
    </row>
    <row r="14" spans="1:17" x14ac:dyDescent="0.25">
      <c r="I14" t="s">
        <v>41</v>
      </c>
      <c r="Q14" s="7">
        <v>45152</v>
      </c>
    </row>
    <row r="15" spans="1:17" x14ac:dyDescent="0.25">
      <c r="H15" s="3"/>
      <c r="Q15" s="7">
        <v>45153</v>
      </c>
    </row>
    <row r="16" spans="1:17" x14ac:dyDescent="0.25">
      <c r="Q16" s="7">
        <v>45154</v>
      </c>
    </row>
    <row r="17" spans="17:17" x14ac:dyDescent="0.25">
      <c r="Q17" s="7">
        <v>45155</v>
      </c>
    </row>
    <row r="18" spans="17:17" x14ac:dyDescent="0.25">
      <c r="Q18" s="7">
        <v>45156</v>
      </c>
    </row>
    <row r="19" spans="17:17" x14ac:dyDescent="0.25">
      <c r="Q19" s="7">
        <v>45157</v>
      </c>
    </row>
    <row r="20" spans="17:17" x14ac:dyDescent="0.25">
      <c r="Q20" s="7">
        <v>45158</v>
      </c>
    </row>
    <row r="21" spans="17:17" x14ac:dyDescent="0.25">
      <c r="Q21" s="7">
        <v>45159</v>
      </c>
    </row>
    <row r="22" spans="17:17" x14ac:dyDescent="0.25">
      <c r="Q22" s="7">
        <v>45160</v>
      </c>
    </row>
    <row r="23" spans="17:17" x14ac:dyDescent="0.25">
      <c r="Q23" s="7">
        <v>45161</v>
      </c>
    </row>
    <row r="24" spans="17:17" x14ac:dyDescent="0.25">
      <c r="Q24" s="7">
        <v>45162</v>
      </c>
    </row>
    <row r="25" spans="17:17" x14ac:dyDescent="0.25">
      <c r="Q25" s="7">
        <v>45163</v>
      </c>
    </row>
    <row r="26" spans="17:17" x14ac:dyDescent="0.25">
      <c r="Q26" s="7">
        <v>45164</v>
      </c>
    </row>
    <row r="27" spans="17:17" x14ac:dyDescent="0.25">
      <c r="Q27" s="7">
        <v>45165</v>
      </c>
    </row>
    <row r="28" spans="17:17" x14ac:dyDescent="0.25">
      <c r="Q28" s="7">
        <v>45166</v>
      </c>
    </row>
    <row r="29" spans="17:17" x14ac:dyDescent="0.25">
      <c r="Q29" s="7">
        <v>45167</v>
      </c>
    </row>
    <row r="30" spans="17:17" x14ac:dyDescent="0.25">
      <c r="Q30" s="7">
        <v>45168</v>
      </c>
    </row>
    <row r="31" spans="17:17" x14ac:dyDescent="0.25">
      <c r="Q31" s="7">
        <v>45169</v>
      </c>
    </row>
    <row r="32" spans="17:17" x14ac:dyDescent="0.25">
      <c r="Q32" s="7">
        <v>45170</v>
      </c>
    </row>
    <row r="33" spans="17:17" x14ac:dyDescent="0.25">
      <c r="Q33" s="7">
        <v>45171</v>
      </c>
    </row>
    <row r="34" spans="17:17" x14ac:dyDescent="0.25">
      <c r="Q34" s="7">
        <v>45172</v>
      </c>
    </row>
    <row r="35" spans="17:17" x14ac:dyDescent="0.25">
      <c r="Q35" s="7">
        <v>45173</v>
      </c>
    </row>
    <row r="36" spans="17:17" x14ac:dyDescent="0.25">
      <c r="Q36" s="7">
        <v>45174</v>
      </c>
    </row>
    <row r="37" spans="17:17" x14ac:dyDescent="0.25">
      <c r="Q37" s="7">
        <v>45175</v>
      </c>
    </row>
    <row r="38" spans="17:17" x14ac:dyDescent="0.25">
      <c r="Q38" s="7">
        <v>45176</v>
      </c>
    </row>
    <row r="39" spans="17:17" x14ac:dyDescent="0.25">
      <c r="Q39" s="7">
        <v>45177</v>
      </c>
    </row>
    <row r="40" spans="17:17" x14ac:dyDescent="0.25">
      <c r="Q40" s="7">
        <v>45178</v>
      </c>
    </row>
    <row r="41" spans="17:17" x14ac:dyDescent="0.25">
      <c r="Q41" s="7">
        <v>45179</v>
      </c>
    </row>
    <row r="42" spans="17:17" x14ac:dyDescent="0.25">
      <c r="Q42" s="7">
        <v>45180</v>
      </c>
    </row>
    <row r="43" spans="17:17" x14ac:dyDescent="0.25">
      <c r="Q43" s="7">
        <v>45181</v>
      </c>
    </row>
    <row r="44" spans="17:17" x14ac:dyDescent="0.25">
      <c r="Q44" s="7">
        <v>45182</v>
      </c>
    </row>
    <row r="45" spans="17:17" x14ac:dyDescent="0.25">
      <c r="Q45" s="7">
        <v>45183</v>
      </c>
    </row>
    <row r="46" spans="17:17" x14ac:dyDescent="0.25">
      <c r="Q46" s="7">
        <v>45184</v>
      </c>
    </row>
    <row r="47" spans="17:17" x14ac:dyDescent="0.25">
      <c r="Q47" s="7">
        <v>45185</v>
      </c>
    </row>
    <row r="48" spans="17:17" x14ac:dyDescent="0.25">
      <c r="Q48" s="7">
        <v>45186</v>
      </c>
    </row>
    <row r="49" spans="17:17" x14ac:dyDescent="0.25">
      <c r="Q49" s="7">
        <v>45187</v>
      </c>
    </row>
    <row r="50" spans="17:17" x14ac:dyDescent="0.25">
      <c r="Q50" s="7">
        <v>45188</v>
      </c>
    </row>
    <row r="51" spans="17:17" x14ac:dyDescent="0.25">
      <c r="Q51" s="7">
        <v>45189</v>
      </c>
    </row>
    <row r="52" spans="17:17" x14ac:dyDescent="0.25">
      <c r="Q52" s="7">
        <v>45190</v>
      </c>
    </row>
    <row r="53" spans="17:17" x14ac:dyDescent="0.25">
      <c r="Q53" s="7">
        <v>45191</v>
      </c>
    </row>
    <row r="54" spans="17:17" x14ac:dyDescent="0.25">
      <c r="Q54" s="7">
        <v>45192</v>
      </c>
    </row>
    <row r="55" spans="17:17" x14ac:dyDescent="0.25">
      <c r="Q55" s="7">
        <v>45193</v>
      </c>
    </row>
    <row r="56" spans="17:17" x14ac:dyDescent="0.25">
      <c r="Q56" s="7">
        <v>45194</v>
      </c>
    </row>
    <row r="57" spans="17:17" x14ac:dyDescent="0.25">
      <c r="Q57" s="7">
        <v>45195</v>
      </c>
    </row>
    <row r="58" spans="17:17" x14ac:dyDescent="0.25">
      <c r="Q58" s="7">
        <v>45196</v>
      </c>
    </row>
    <row r="59" spans="17:17" x14ac:dyDescent="0.25">
      <c r="Q59" s="7">
        <v>45197</v>
      </c>
    </row>
    <row r="60" spans="17:17" x14ac:dyDescent="0.25">
      <c r="Q60" s="7">
        <v>45198</v>
      </c>
    </row>
    <row r="61" spans="17:17" x14ac:dyDescent="0.25">
      <c r="Q61" s="7">
        <v>45199</v>
      </c>
    </row>
    <row r="62" spans="17:17" x14ac:dyDescent="0.25">
      <c r="Q62" s="7">
        <v>45200</v>
      </c>
    </row>
    <row r="63" spans="17:17" x14ac:dyDescent="0.25">
      <c r="Q63" s="7">
        <v>45201</v>
      </c>
    </row>
    <row r="64" spans="17:17" x14ac:dyDescent="0.25">
      <c r="Q64" s="7">
        <v>45202</v>
      </c>
    </row>
    <row r="65" spans="17:17" x14ac:dyDescent="0.25">
      <c r="Q65" s="7">
        <v>45203</v>
      </c>
    </row>
    <row r="66" spans="17:17" x14ac:dyDescent="0.25">
      <c r="Q66" s="7">
        <v>45204</v>
      </c>
    </row>
    <row r="67" spans="17:17" x14ac:dyDescent="0.25">
      <c r="Q67" s="7">
        <v>45205</v>
      </c>
    </row>
    <row r="68" spans="17:17" x14ac:dyDescent="0.25">
      <c r="Q68" s="7">
        <v>45206</v>
      </c>
    </row>
    <row r="69" spans="17:17" x14ac:dyDescent="0.25">
      <c r="Q69" s="7">
        <v>45207</v>
      </c>
    </row>
    <row r="70" spans="17:17" x14ac:dyDescent="0.25">
      <c r="Q70" s="7">
        <v>45208</v>
      </c>
    </row>
    <row r="71" spans="17:17" x14ac:dyDescent="0.25">
      <c r="Q71" s="7">
        <v>45209</v>
      </c>
    </row>
    <row r="72" spans="17:17" x14ac:dyDescent="0.25">
      <c r="Q72" s="7">
        <v>45210</v>
      </c>
    </row>
    <row r="73" spans="17:17" x14ac:dyDescent="0.25">
      <c r="Q73" s="7">
        <v>45211</v>
      </c>
    </row>
    <row r="74" spans="17:17" x14ac:dyDescent="0.25">
      <c r="Q74" s="7">
        <v>45212</v>
      </c>
    </row>
    <row r="75" spans="17:17" x14ac:dyDescent="0.25">
      <c r="Q75" s="7">
        <v>45213</v>
      </c>
    </row>
    <row r="76" spans="17:17" x14ac:dyDescent="0.25">
      <c r="Q76" s="7">
        <v>45214</v>
      </c>
    </row>
    <row r="77" spans="17:17" x14ac:dyDescent="0.25">
      <c r="Q77" s="7">
        <v>45215</v>
      </c>
    </row>
    <row r="78" spans="17:17" x14ac:dyDescent="0.25">
      <c r="Q78" s="7">
        <v>45216</v>
      </c>
    </row>
    <row r="79" spans="17:17" x14ac:dyDescent="0.25">
      <c r="Q79" s="7">
        <v>45217</v>
      </c>
    </row>
    <row r="80" spans="17:17" x14ac:dyDescent="0.25">
      <c r="Q80" s="7">
        <v>45218</v>
      </c>
    </row>
    <row r="81" spans="17:17" x14ac:dyDescent="0.25">
      <c r="Q81" s="7">
        <v>45219</v>
      </c>
    </row>
    <row r="82" spans="17:17" x14ac:dyDescent="0.25">
      <c r="Q82" s="7">
        <v>45220</v>
      </c>
    </row>
    <row r="83" spans="17:17" x14ac:dyDescent="0.25">
      <c r="Q83" s="7">
        <v>45221</v>
      </c>
    </row>
    <row r="84" spans="17:17" x14ac:dyDescent="0.25">
      <c r="Q84" s="7">
        <v>45222</v>
      </c>
    </row>
    <row r="85" spans="17:17" x14ac:dyDescent="0.25">
      <c r="Q85" s="7">
        <v>45223</v>
      </c>
    </row>
    <row r="86" spans="17:17" x14ac:dyDescent="0.25">
      <c r="Q86" s="7">
        <v>45224</v>
      </c>
    </row>
    <row r="87" spans="17:17" x14ac:dyDescent="0.25">
      <c r="Q87" s="7">
        <v>45225</v>
      </c>
    </row>
    <row r="88" spans="17:17" x14ac:dyDescent="0.25">
      <c r="Q88" s="7">
        <v>45226</v>
      </c>
    </row>
    <row r="89" spans="17:17" x14ac:dyDescent="0.25">
      <c r="Q89" s="7">
        <v>45227</v>
      </c>
    </row>
    <row r="90" spans="17:17" x14ac:dyDescent="0.25">
      <c r="Q90" s="7">
        <v>45228</v>
      </c>
    </row>
    <row r="91" spans="17:17" x14ac:dyDescent="0.25">
      <c r="Q91" s="7">
        <v>45229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0C7-349D-4823-BF50-6D92F3D4E368}">
  <sheetPr codeName="Planilha16"/>
  <dimension ref="A1:AA22"/>
  <sheetViews>
    <sheetView workbookViewId="0">
      <selection activeCell="Z14" sqref="Z14"/>
    </sheetView>
  </sheetViews>
  <sheetFormatPr defaultRowHeight="15" x14ac:dyDescent="0.25"/>
  <cols>
    <col min="1" max="1" width="11.5703125" customWidth="1"/>
    <col min="2" max="2" width="13.28515625" bestFit="1" customWidth="1"/>
    <col min="3" max="3" width="10.7109375" bestFit="1" customWidth="1"/>
    <col min="4" max="4" width="16.28515625" bestFit="1" customWidth="1"/>
    <col min="5" max="6" width="11.5703125" customWidth="1"/>
    <col min="7" max="7" width="2.42578125" customWidth="1"/>
    <col min="8" max="8" width="11.5703125" customWidth="1"/>
    <col min="9" max="9" width="14.28515625" bestFit="1" customWidth="1"/>
    <col min="10" max="10" width="10.7109375" bestFit="1" customWidth="1"/>
    <col min="11" max="11" width="16.28515625" bestFit="1" customWidth="1"/>
    <col min="12" max="13" width="11.5703125" customWidth="1"/>
    <col min="14" max="14" width="2.7109375" customWidth="1"/>
    <col min="15" max="15" width="11.5703125" customWidth="1"/>
    <col min="16" max="16" width="12.140625" bestFit="1" customWidth="1"/>
    <col min="17" max="17" width="10.7109375" bestFit="1" customWidth="1"/>
    <col min="18" max="18" width="16.28515625" bestFit="1" customWidth="1"/>
    <col min="19" max="19" width="11.5703125" customWidth="1"/>
    <col min="20" max="20" width="5.42578125" customWidth="1"/>
    <col min="21" max="21" width="21" customWidth="1"/>
    <col min="22" max="22" width="13" customWidth="1"/>
    <col min="23" max="23" width="14.28515625" bestFit="1" customWidth="1"/>
    <col min="24" max="24" width="20" bestFit="1" customWidth="1"/>
    <col min="25" max="25" width="13.28515625" bestFit="1" customWidth="1"/>
    <col min="27" max="27" width="13.28515625" bestFit="1" customWidth="1"/>
  </cols>
  <sheetData>
    <row r="1" spans="1:27" x14ac:dyDescent="0.25">
      <c r="A1" s="19" t="s">
        <v>59</v>
      </c>
      <c r="B1">
        <v>2023</v>
      </c>
      <c r="U1" t="s">
        <v>56</v>
      </c>
      <c r="V1" t="s">
        <v>67</v>
      </c>
    </row>
    <row r="2" spans="1:27" x14ac:dyDescent="0.25">
      <c r="A2" t="s">
        <v>0</v>
      </c>
      <c r="H2" t="s">
        <v>27</v>
      </c>
      <c r="O2" t="s">
        <v>28</v>
      </c>
      <c r="U2" t="s">
        <v>22</v>
      </c>
      <c r="V2" s="1">
        <v>0</v>
      </c>
      <c r="X2" t="s">
        <v>49</v>
      </c>
    </row>
    <row r="3" spans="1:27" x14ac:dyDescent="0.25">
      <c r="U3" t="s">
        <v>19</v>
      </c>
      <c r="V3" s="1">
        <v>0</v>
      </c>
      <c r="X3" t="s">
        <v>50</v>
      </c>
      <c r="Y3" s="6">
        <f>SUM(Tabela3857[Valor])</f>
        <v>308.03999999999996</v>
      </c>
    </row>
    <row r="4" spans="1:27" x14ac:dyDescent="0.25">
      <c r="A4" t="s">
        <v>1</v>
      </c>
      <c r="B4" t="s">
        <v>3</v>
      </c>
      <c r="C4" t="s">
        <v>46</v>
      </c>
      <c r="D4" t="s">
        <v>2</v>
      </c>
      <c r="E4" t="s">
        <v>5</v>
      </c>
      <c r="F4" t="s">
        <v>45</v>
      </c>
      <c r="H4" t="s">
        <v>1</v>
      </c>
      <c r="I4" t="s">
        <v>3</v>
      </c>
      <c r="J4" t="s">
        <v>46</v>
      </c>
      <c r="K4" t="s">
        <v>2</v>
      </c>
      <c r="L4" t="s">
        <v>5</v>
      </c>
      <c r="M4" t="s">
        <v>45</v>
      </c>
      <c r="O4" t="s">
        <v>1</v>
      </c>
      <c r="P4" t="s">
        <v>3</v>
      </c>
      <c r="Q4" t="s">
        <v>4</v>
      </c>
      <c r="R4" t="s">
        <v>29</v>
      </c>
      <c r="S4" t="s">
        <v>30</v>
      </c>
      <c r="U4" t="s">
        <v>17</v>
      </c>
      <c r="V4" s="1">
        <v>0</v>
      </c>
      <c r="X4" t="s">
        <v>51</v>
      </c>
      <c r="Y4" s="6">
        <f>SUM(Tabela310958[Valor])</f>
        <v>112.45</v>
      </c>
    </row>
    <row r="5" spans="1:27" x14ac:dyDescent="0.25">
      <c r="A5" t="s">
        <v>61</v>
      </c>
      <c r="B5" s="1">
        <v>304.33999999999997</v>
      </c>
      <c r="C5" s="7">
        <v>44965</v>
      </c>
      <c r="D5" t="s">
        <v>48</v>
      </c>
      <c r="E5" t="s">
        <v>62</v>
      </c>
      <c r="F5" t="s">
        <v>33</v>
      </c>
      <c r="H5" t="s">
        <v>63</v>
      </c>
      <c r="I5" s="1">
        <v>8</v>
      </c>
      <c r="J5" s="7">
        <v>44934</v>
      </c>
      <c r="K5" t="s">
        <v>7</v>
      </c>
      <c r="L5" t="s">
        <v>16</v>
      </c>
      <c r="M5" t="s">
        <v>33</v>
      </c>
      <c r="O5" t="s">
        <v>65</v>
      </c>
      <c r="P5" s="1">
        <v>100</v>
      </c>
      <c r="Q5" s="7">
        <v>1</v>
      </c>
      <c r="R5" t="s">
        <v>33</v>
      </c>
      <c r="S5" t="s">
        <v>34</v>
      </c>
      <c r="U5" t="s">
        <v>15</v>
      </c>
      <c r="V5" s="1">
        <v>0</v>
      </c>
      <c r="Y5" s="6">
        <f>Y3-Y4</f>
        <v>195.58999999999997</v>
      </c>
    </row>
    <row r="6" spans="1:27" x14ac:dyDescent="0.25">
      <c r="A6" t="s">
        <v>61</v>
      </c>
      <c r="B6" s="1">
        <v>3.7</v>
      </c>
      <c r="C6" s="7">
        <v>44934</v>
      </c>
      <c r="D6" t="s">
        <v>48</v>
      </c>
      <c r="E6" t="s">
        <v>62</v>
      </c>
      <c r="F6" t="s">
        <v>34</v>
      </c>
      <c r="H6" t="s">
        <v>64</v>
      </c>
      <c r="I6" s="1">
        <v>77.28</v>
      </c>
      <c r="J6" s="7">
        <v>44934</v>
      </c>
      <c r="K6" t="s">
        <v>7</v>
      </c>
      <c r="L6" t="s">
        <v>20</v>
      </c>
      <c r="M6" t="s">
        <v>33</v>
      </c>
      <c r="P6" s="1"/>
      <c r="Q6" s="7"/>
      <c r="U6" t="s">
        <v>20</v>
      </c>
      <c r="V6" s="1">
        <v>77.28</v>
      </c>
    </row>
    <row r="7" spans="1:27" x14ac:dyDescent="0.25">
      <c r="B7" s="1"/>
      <c r="C7" s="7"/>
      <c r="H7" t="s">
        <v>66</v>
      </c>
      <c r="I7" s="1">
        <v>27.17</v>
      </c>
      <c r="J7" s="7">
        <v>44934</v>
      </c>
      <c r="K7" t="s">
        <v>7</v>
      </c>
      <c r="L7" t="s">
        <v>16</v>
      </c>
      <c r="M7" t="s">
        <v>34</v>
      </c>
      <c r="P7" s="1"/>
      <c r="Q7" s="7"/>
      <c r="U7" t="s">
        <v>24</v>
      </c>
      <c r="V7" s="1">
        <v>0</v>
      </c>
      <c r="X7" s="9" t="s">
        <v>52</v>
      </c>
      <c r="Y7" s="10" t="s">
        <v>53</v>
      </c>
      <c r="Z7" s="10" t="s">
        <v>54</v>
      </c>
      <c r="AA7" s="11" t="s">
        <v>55</v>
      </c>
    </row>
    <row r="8" spans="1:27" x14ac:dyDescent="0.25">
      <c r="B8" s="1"/>
      <c r="C8" s="7"/>
      <c r="I8" s="1"/>
      <c r="J8" s="7"/>
      <c r="P8" s="1"/>
      <c r="Q8" s="7"/>
      <c r="U8" t="s">
        <v>23</v>
      </c>
      <c r="V8" s="1">
        <v>0</v>
      </c>
      <c r="X8" s="12" t="s">
        <v>43</v>
      </c>
      <c r="Y8" s="17">
        <v>0</v>
      </c>
      <c r="Z8" s="17">
        <v>0</v>
      </c>
      <c r="AA8" s="13">
        <f>Tabela3[[#This Row],[entrada]]-Tabela3[[#This Row],[saída]]</f>
        <v>0</v>
      </c>
    </row>
    <row r="9" spans="1:27" x14ac:dyDescent="0.25">
      <c r="B9" s="1"/>
      <c r="C9" s="7"/>
      <c r="I9" s="1"/>
      <c r="J9" s="7"/>
      <c r="P9" s="1"/>
      <c r="Q9" s="7"/>
      <c r="U9" t="s">
        <v>16</v>
      </c>
      <c r="V9" s="1">
        <v>35.17</v>
      </c>
      <c r="X9" s="14" t="s">
        <v>33</v>
      </c>
      <c r="Y9" s="18">
        <v>304.33999999999997</v>
      </c>
      <c r="Z9" s="18">
        <v>185.28</v>
      </c>
      <c r="AA9" s="13">
        <f>Tabela3[[#This Row],[entrada]]-Tabela3[[#This Row],[saída]]</f>
        <v>119.05999999999997</v>
      </c>
    </row>
    <row r="10" spans="1:27" x14ac:dyDescent="0.25">
      <c r="B10" s="1"/>
      <c r="C10" s="7"/>
      <c r="I10" s="1"/>
      <c r="J10" s="7"/>
      <c r="P10" s="1"/>
      <c r="Q10" s="7"/>
      <c r="U10" t="s">
        <v>18</v>
      </c>
      <c r="V10" s="1">
        <v>0</v>
      </c>
      <c r="X10" s="12" t="s">
        <v>34</v>
      </c>
      <c r="Y10" s="18">
        <v>103.7</v>
      </c>
      <c r="Z10" s="18">
        <v>27.17</v>
      </c>
      <c r="AA10" s="13">
        <f>Tabela3[[#This Row],[entrada]]-Tabela3[[#This Row],[saída]]</f>
        <v>76.53</v>
      </c>
    </row>
    <row r="11" spans="1:27" x14ac:dyDescent="0.25">
      <c r="B11" s="1"/>
      <c r="C11" s="7"/>
      <c r="I11" s="1"/>
      <c r="J11" s="7"/>
      <c r="P11" s="1"/>
      <c r="Q11" s="7"/>
      <c r="U11" t="s">
        <v>26</v>
      </c>
      <c r="V11" s="1">
        <v>0</v>
      </c>
      <c r="X11" s="14" t="s">
        <v>32</v>
      </c>
      <c r="Y11" s="17">
        <v>0</v>
      </c>
      <c r="Z11" s="17">
        <v>0</v>
      </c>
      <c r="AA11" s="13">
        <f>Tabela3[[#This Row],[entrada]]-Tabela3[[#This Row],[saída]]</f>
        <v>0</v>
      </c>
    </row>
    <row r="12" spans="1:27" x14ac:dyDescent="0.25">
      <c r="B12" s="1"/>
      <c r="C12" s="7"/>
      <c r="I12" s="1"/>
      <c r="J12" s="7"/>
      <c r="P12" s="1"/>
      <c r="Q12" s="7"/>
      <c r="U12" t="s">
        <v>25</v>
      </c>
      <c r="V12" s="1">
        <v>0</v>
      </c>
      <c r="X12" s="12" t="s">
        <v>38</v>
      </c>
      <c r="Y12" s="17">
        <v>0</v>
      </c>
      <c r="Z12" s="17">
        <v>0</v>
      </c>
      <c r="AA12" s="13">
        <f>Tabela3[[#This Row],[entrada]]-Tabela3[[#This Row],[saída]]</f>
        <v>0</v>
      </c>
    </row>
    <row r="13" spans="1:27" x14ac:dyDescent="0.25">
      <c r="B13" s="1"/>
      <c r="C13" s="7"/>
      <c r="I13" s="1"/>
      <c r="J13" s="7"/>
      <c r="P13" s="1"/>
      <c r="Q13" s="7"/>
      <c r="U13" t="s">
        <v>21</v>
      </c>
      <c r="V13" s="1">
        <v>0</v>
      </c>
      <c r="X13" s="14" t="s">
        <v>44</v>
      </c>
      <c r="Y13" s="17">
        <v>0</v>
      </c>
      <c r="Z13" s="17">
        <v>0</v>
      </c>
      <c r="AA13" s="13">
        <f>Tabela3[[#This Row],[entrada]]-Tabela3[[#This Row],[saída]]</f>
        <v>0</v>
      </c>
    </row>
    <row r="14" spans="1:27" x14ac:dyDescent="0.25">
      <c r="B14" s="1"/>
      <c r="C14" s="7"/>
      <c r="I14" s="1"/>
      <c r="J14" s="7"/>
      <c r="P14" s="1"/>
      <c r="Q14" s="7"/>
      <c r="X14" s="12" t="s">
        <v>40</v>
      </c>
      <c r="Y14" s="17">
        <v>0</v>
      </c>
      <c r="Z14" s="18">
        <v>0</v>
      </c>
      <c r="AA14" s="13">
        <f>Tabela3[[#This Row],[entrada]]-Tabela3[[#This Row],[saída]]</f>
        <v>0</v>
      </c>
    </row>
    <row r="15" spans="1:27" x14ac:dyDescent="0.25">
      <c r="B15" s="1"/>
      <c r="X15" s="14" t="s">
        <v>36</v>
      </c>
      <c r="Y15" s="17">
        <v>0</v>
      </c>
      <c r="Z15" s="17">
        <v>0</v>
      </c>
      <c r="AA15" s="13">
        <f>Tabela3[[#This Row],[entrada]]-Tabela3[[#This Row],[saída]]</f>
        <v>0</v>
      </c>
    </row>
    <row r="16" spans="1:27" x14ac:dyDescent="0.25">
      <c r="B16" s="1"/>
      <c r="C16" s="7"/>
      <c r="X16" s="12" t="s">
        <v>37</v>
      </c>
      <c r="Y16" s="17">
        <v>0</v>
      </c>
      <c r="Z16" s="17">
        <v>0</v>
      </c>
      <c r="AA16" s="13">
        <f>Tabela3[[#This Row],[entrada]]-Tabela3[[#This Row],[saída]]</f>
        <v>0</v>
      </c>
    </row>
    <row r="17" spans="2:27" x14ac:dyDescent="0.25">
      <c r="B17" s="1"/>
      <c r="C17" s="7"/>
      <c r="X17" s="14" t="s">
        <v>39</v>
      </c>
      <c r="Y17" s="17">
        <v>0</v>
      </c>
      <c r="Z17" s="17">
        <v>0</v>
      </c>
      <c r="AA17" s="13">
        <f>Tabela3[[#This Row],[entrada]]-Tabela3[[#This Row],[saída]]</f>
        <v>0</v>
      </c>
    </row>
    <row r="18" spans="2:27" x14ac:dyDescent="0.25">
      <c r="B18" s="1"/>
      <c r="C18" s="7"/>
      <c r="X18" s="12" t="s">
        <v>35</v>
      </c>
      <c r="Y18" s="17">
        <v>0</v>
      </c>
      <c r="Z18" s="17">
        <v>0</v>
      </c>
      <c r="AA18" s="13">
        <f>Tabela3[[#This Row],[entrada]]-Tabela3[[#This Row],[saída]]</f>
        <v>0</v>
      </c>
    </row>
    <row r="19" spans="2:27" x14ac:dyDescent="0.25">
      <c r="B19" s="1"/>
      <c r="X19" s="15" t="s">
        <v>42</v>
      </c>
      <c r="Y19" s="17">
        <v>0</v>
      </c>
      <c r="Z19" s="17">
        <v>0</v>
      </c>
      <c r="AA19" s="13">
        <f>Tabela3[[#This Row],[entrada]]-Tabela3[[#This Row],[saída]]</f>
        <v>0</v>
      </c>
    </row>
    <row r="20" spans="2:27" x14ac:dyDescent="0.25">
      <c r="B20" s="1"/>
      <c r="X20" s="16" t="s">
        <v>41</v>
      </c>
      <c r="Y20" s="17">
        <v>0</v>
      </c>
      <c r="Z20" s="17">
        <v>0</v>
      </c>
      <c r="AA20" s="13">
        <f>Tabela3[[#This Row],[entrada]]-Tabela3[[#This Row],[saída]]</f>
        <v>0</v>
      </c>
    </row>
    <row r="21" spans="2:27" ht="15" customHeight="1" x14ac:dyDescent="0.25">
      <c r="Y21" s="17"/>
      <c r="Z21" s="17"/>
      <c r="AA21" s="13"/>
    </row>
    <row r="22" spans="2:27" ht="15.7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Dashboards</vt:lpstr>
      <vt:lpstr>Banco de Dados</vt:lpstr>
      <vt:lpstr>ago 2023</vt:lpstr>
      <vt:lpstr>SALDO</vt:lpstr>
      <vt:lpstr>teste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Sizer</dc:creator>
  <cp:lastModifiedBy>André Sizer</cp:lastModifiedBy>
  <dcterms:created xsi:type="dcterms:W3CDTF">2023-07-31T13:45:30Z</dcterms:created>
  <dcterms:modified xsi:type="dcterms:W3CDTF">2023-08-02T16:58:13Z</dcterms:modified>
</cp:coreProperties>
</file>